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HIL\Downloads\"/>
    </mc:Choice>
  </mc:AlternateContent>
  <xr:revisionPtr revIDLastSave="0" documentId="13_ncr:1_{975E98E5-2DE3-47F3-88EE-A0EFE825AF1E}" xr6:coauthVersionLast="47" xr6:coauthVersionMax="47" xr10:uidLastSave="{00000000-0000-0000-0000-000000000000}"/>
  <bookViews>
    <workbookView xWindow="-108" yWindow="-108" windowWidth="23256" windowHeight="14616" activeTab="3" xr2:uid="{00000000-000D-0000-FFFF-FFFF00000000}"/>
  </bookViews>
  <sheets>
    <sheet name="EmployeeData" sheetId="1" r:id="rId1"/>
    <sheet name="Sheet1" sheetId="2" r:id="rId2"/>
    <sheet name="Sheet2" sheetId="3" r:id="rId3"/>
    <sheet name="Sheet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" i="4" l="1"/>
  <c r="K6" i="4"/>
  <c r="K3" i="4"/>
  <c r="K10" i="4" s="1"/>
  <c r="C13" i="4"/>
  <c r="C16" i="4"/>
  <c r="C15" i="4"/>
  <c r="C14" i="4"/>
  <c r="G11" i="2"/>
  <c r="G10" i="2"/>
  <c r="G9" i="2"/>
  <c r="G3" i="2"/>
  <c r="G4" i="2"/>
  <c r="G5" i="2"/>
  <c r="G6" i="2"/>
  <c r="G2" i="2"/>
  <c r="E6" i="2"/>
  <c r="E2" i="2"/>
  <c r="D3" i="2"/>
  <c r="E3" i="2" s="1"/>
  <c r="D4" i="2"/>
  <c r="E4" i="2" s="1"/>
  <c r="D5" i="2"/>
  <c r="E5" i="2" s="1"/>
  <c r="D6" i="2"/>
  <c r="D2" i="2"/>
  <c r="B3" i="2"/>
  <c r="F3" i="2" s="1"/>
  <c r="B4" i="2"/>
  <c r="F4" i="2" s="1"/>
  <c r="B5" i="2"/>
  <c r="F5" i="2" s="1"/>
  <c r="B6" i="2"/>
  <c r="F6" i="2" s="1"/>
  <c r="B2" i="2"/>
  <c r="F2" i="2" s="1"/>
</calcChain>
</file>

<file path=xl/sharedStrings.xml><?xml version="1.0" encoding="utf-8"?>
<sst xmlns="http://schemas.openxmlformats.org/spreadsheetml/2006/main" count="125" uniqueCount="48">
  <si>
    <t>Full Name</t>
  </si>
  <si>
    <t>Email</t>
  </si>
  <si>
    <t>Department</t>
  </si>
  <si>
    <t>Join Date</t>
  </si>
  <si>
    <t>Leave Balance</t>
  </si>
  <si>
    <t>Basic Salary</t>
  </si>
  <si>
    <t>Bonus %</t>
  </si>
  <si>
    <t>Project Start</t>
  </si>
  <si>
    <t>Project End</t>
  </si>
  <si>
    <t>Weekday Joined</t>
  </si>
  <si>
    <t>John Doe</t>
  </si>
  <si>
    <t>jane smith</t>
  </si>
  <si>
    <t>ALICE JOHNSON</t>
  </si>
  <si>
    <t>bob Brown</t>
  </si>
  <si>
    <t>Eva White</t>
  </si>
  <si>
    <t>john@example.com</t>
  </si>
  <si>
    <t>jane@example.com</t>
  </si>
  <si>
    <t>alice@example.com</t>
  </si>
  <si>
    <t>bob@example.com</t>
  </si>
  <si>
    <t>eva@example.com</t>
  </si>
  <si>
    <t>Sales</t>
  </si>
  <si>
    <t>Marketing</t>
  </si>
  <si>
    <t>HR</t>
  </si>
  <si>
    <t>Bob@example.com</t>
  </si>
  <si>
    <t>Proper Name</t>
  </si>
  <si>
    <t>Email - Lower</t>
  </si>
  <si>
    <t>email_domain-right</t>
  </si>
  <si>
    <t>name_left-domain</t>
  </si>
  <si>
    <t>email_mid</t>
  </si>
  <si>
    <t>john</t>
  </si>
  <si>
    <t>example.com</t>
  </si>
  <si>
    <t>doe</t>
  </si>
  <si>
    <t xml:space="preserve"> </t>
  </si>
  <si>
    <t>Jane Smith</t>
  </si>
  <si>
    <t>Alice Johnson</t>
  </si>
  <si>
    <t>Bob Brown</t>
  </si>
  <si>
    <t>(Vlookup)</t>
  </si>
  <si>
    <t>(Hlookup)</t>
  </si>
  <si>
    <t>Salary of 3rd Row</t>
  </si>
  <si>
    <t xml:space="preserve">Index Match  </t>
  </si>
  <si>
    <t>(Xlookup)</t>
  </si>
  <si>
    <t>Salary of Jane Smith</t>
  </si>
  <si>
    <t>Salary of Bob Brown</t>
  </si>
  <si>
    <t>&gt;60000</t>
  </si>
  <si>
    <t>Grand Total</t>
  </si>
  <si>
    <t>HR Total</t>
  </si>
  <si>
    <t>Marketing Total</t>
  </si>
  <si>
    <t>Sales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</si>
</sst>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0" xfId="0" applyFont="1"/>
    <xf numFmtId="0" fontId="0" fillId="0" borderId="1" xfId="0" applyFont="1" applyBorder="1" applyAlignment="1">
      <alignment horizontal="center" vertical="top"/>
    </xf>
    <xf numFmtId="0" fontId="0" fillId="0" borderId="1" xfId="0" applyFont="1" applyBorder="1"/>
    <xf numFmtId="0" fontId="1" fillId="0" borderId="1" xfId="0" applyFont="1" applyBorder="1"/>
    <xf numFmtId="0" fontId="0" fillId="0" borderId="0" xfId="0" applyFont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zoomScale="160" zoomScaleNormal="160" workbookViewId="0">
      <selection activeCell="F1" sqref="F1:F6"/>
    </sheetView>
  </sheetViews>
  <sheetFormatPr defaultRowHeight="14.4" x14ac:dyDescent="0.3"/>
  <cols>
    <col min="1" max="1" width="14.33203125" bestFit="1" customWidth="1"/>
    <col min="2" max="2" width="17.77734375" bestFit="1" customWidth="1"/>
    <col min="3" max="3" width="11.109375" bestFit="1" customWidth="1"/>
    <col min="4" max="4" width="18.109375" bestFit="1" customWidth="1"/>
    <col min="5" max="5" width="12.88671875" bestFit="1" customWidth="1"/>
    <col min="6" max="6" width="10.77734375" bestFit="1" customWidth="1"/>
    <col min="7" max="7" width="8.109375" bestFit="1" customWidth="1"/>
    <col min="8" max="9" width="18.109375" bestFit="1" customWidth="1"/>
    <col min="10" max="10" width="14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15</v>
      </c>
      <c r="C2" t="s">
        <v>20</v>
      </c>
      <c r="D2" s="2">
        <v>44691</v>
      </c>
      <c r="E2">
        <v>5</v>
      </c>
      <c r="F2">
        <v>50000</v>
      </c>
      <c r="G2">
        <v>0.1</v>
      </c>
      <c r="H2" s="2">
        <v>45444</v>
      </c>
      <c r="I2" s="2">
        <v>45458</v>
      </c>
    </row>
    <row r="3" spans="1:10" x14ac:dyDescent="0.3">
      <c r="A3" t="s">
        <v>11</v>
      </c>
      <c r="B3" t="s">
        <v>16</v>
      </c>
      <c r="C3" t="s">
        <v>21</v>
      </c>
      <c r="D3" s="2">
        <v>44941</v>
      </c>
      <c r="E3">
        <v>12</v>
      </c>
      <c r="F3">
        <v>60000</v>
      </c>
      <c r="G3">
        <v>0.15</v>
      </c>
      <c r="H3" s="2">
        <v>45444</v>
      </c>
      <c r="I3" s="2">
        <v>45461</v>
      </c>
    </row>
    <row r="4" spans="1:10" x14ac:dyDescent="0.3">
      <c r="A4" t="s">
        <v>12</v>
      </c>
      <c r="B4" t="s">
        <v>17</v>
      </c>
      <c r="C4" t="s">
        <v>20</v>
      </c>
      <c r="D4" s="2">
        <v>44378</v>
      </c>
      <c r="E4">
        <v>0</v>
      </c>
      <c r="F4">
        <v>55000</v>
      </c>
      <c r="G4">
        <v>0.1</v>
      </c>
      <c r="H4" s="2">
        <v>45444</v>
      </c>
      <c r="I4" s="2">
        <v>45463</v>
      </c>
    </row>
    <row r="5" spans="1:10" x14ac:dyDescent="0.3">
      <c r="A5" t="s">
        <v>13</v>
      </c>
      <c r="B5" t="s">
        <v>18</v>
      </c>
      <c r="C5" t="s">
        <v>22</v>
      </c>
      <c r="D5" s="2">
        <v>45219</v>
      </c>
      <c r="E5">
        <v>8</v>
      </c>
      <c r="F5">
        <v>45000</v>
      </c>
      <c r="G5">
        <v>0.05</v>
      </c>
      <c r="H5" s="2">
        <v>45444</v>
      </c>
      <c r="I5" s="2">
        <v>45468</v>
      </c>
    </row>
    <row r="6" spans="1:10" x14ac:dyDescent="0.3">
      <c r="A6" t="s">
        <v>14</v>
      </c>
      <c r="B6" t="s">
        <v>19</v>
      </c>
      <c r="C6" t="s">
        <v>21</v>
      </c>
      <c r="D6" s="2">
        <v>43895</v>
      </c>
      <c r="E6">
        <v>2</v>
      </c>
      <c r="F6">
        <v>70000</v>
      </c>
      <c r="G6">
        <v>0.2</v>
      </c>
      <c r="H6" s="2">
        <v>45444</v>
      </c>
      <c r="I6" s="2">
        <v>45473</v>
      </c>
    </row>
    <row r="8" spans="1:10" x14ac:dyDescent="0.3">
      <c r="A8" s="4" t="s">
        <v>0</v>
      </c>
    </row>
    <row r="9" spans="1:10" x14ac:dyDescent="0.3">
      <c r="A9" t="s">
        <v>10</v>
      </c>
    </row>
    <row r="10" spans="1:10" x14ac:dyDescent="0.3">
      <c r="A10" t="s">
        <v>33</v>
      </c>
    </row>
    <row r="11" spans="1:10" x14ac:dyDescent="0.3">
      <c r="A11" t="s">
        <v>34</v>
      </c>
    </row>
    <row r="12" spans="1:10" x14ac:dyDescent="0.3">
      <c r="A12" t="s">
        <v>35</v>
      </c>
    </row>
    <row r="13" spans="1:10" x14ac:dyDescent="0.3">
      <c r="A1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F0F5F-2447-4E89-A91C-BACC8B27F985}">
  <dimension ref="A1:H11"/>
  <sheetViews>
    <sheetView zoomScale="205" zoomScaleNormal="205" workbookViewId="0">
      <selection activeCell="A6" sqref="A6"/>
    </sheetView>
  </sheetViews>
  <sheetFormatPr defaultRowHeight="14.4" x14ac:dyDescent="0.3"/>
  <cols>
    <col min="1" max="1" width="15.33203125" bestFit="1" customWidth="1"/>
    <col min="2" max="2" width="15.33203125" customWidth="1"/>
    <col min="3" max="5" width="17.77734375" bestFit="1" customWidth="1"/>
    <col min="6" max="6" width="16.77734375" bestFit="1" customWidth="1"/>
  </cols>
  <sheetData>
    <row r="1" spans="1:8" x14ac:dyDescent="0.3">
      <c r="A1" s="1" t="s">
        <v>0</v>
      </c>
      <c r="B1" s="1" t="s">
        <v>24</v>
      </c>
      <c r="C1" s="1" t="s">
        <v>1</v>
      </c>
      <c r="D1" s="3" t="s">
        <v>25</v>
      </c>
      <c r="E1" s="3" t="s">
        <v>26</v>
      </c>
      <c r="F1" s="3" t="s">
        <v>27</v>
      </c>
      <c r="G1" s="3" t="s">
        <v>28</v>
      </c>
    </row>
    <row r="2" spans="1:8" x14ac:dyDescent="0.3">
      <c r="A2" t="s">
        <v>10</v>
      </c>
      <c r="B2" t="str">
        <f>PROPER(A2)</f>
        <v>John Doe</v>
      </c>
      <c r="C2" t="s">
        <v>15</v>
      </c>
      <c r="D2" t="str">
        <f>LOWER(C2)</f>
        <v>john@example.com</v>
      </c>
      <c r="E2" t="str">
        <f>RIGHT(D2,11)</f>
        <v>example.com</v>
      </c>
      <c r="F2" t="str">
        <f>LEFT(B2,3)</f>
        <v>Joh</v>
      </c>
      <c r="G2" t="str">
        <f>MID(C2,6,7)</f>
        <v>example</v>
      </c>
      <c r="H2" t="s">
        <v>30</v>
      </c>
    </row>
    <row r="3" spans="1:8" x14ac:dyDescent="0.3">
      <c r="A3" t="s">
        <v>11</v>
      </c>
      <c r="B3" t="str">
        <f t="shared" ref="B3:B6" si="0">PROPER(A3)</f>
        <v>Jane Smith</v>
      </c>
      <c r="C3" t="s">
        <v>16</v>
      </c>
      <c r="D3" t="str">
        <f t="shared" ref="D3:D6" si="1">LOWER(C3)</f>
        <v>jane@example.com</v>
      </c>
      <c r="E3" t="str">
        <f t="shared" ref="E3:E6" si="2">RIGHT(D3,11)</f>
        <v>example.com</v>
      </c>
      <c r="F3" t="str">
        <f t="shared" ref="F3:F6" si="3">LEFT(B3,3)</f>
        <v>Jan</v>
      </c>
      <c r="G3" t="str">
        <f t="shared" ref="G3:G6" si="4">MID(C3,6,7)</f>
        <v>example</v>
      </c>
      <c r="H3" t="s">
        <v>30</v>
      </c>
    </row>
    <row r="4" spans="1:8" x14ac:dyDescent="0.3">
      <c r="A4" t="s">
        <v>12</v>
      </c>
      <c r="B4" t="str">
        <f t="shared" si="0"/>
        <v>Alice Johnson</v>
      </c>
      <c r="C4" t="s">
        <v>17</v>
      </c>
      <c r="D4" t="str">
        <f t="shared" si="1"/>
        <v>alice@example.com</v>
      </c>
      <c r="E4" t="str">
        <f t="shared" si="2"/>
        <v>example.com</v>
      </c>
      <c r="F4" t="str">
        <f t="shared" si="3"/>
        <v>Ali</v>
      </c>
      <c r="G4" t="str">
        <f t="shared" si="4"/>
        <v>@exampl</v>
      </c>
      <c r="H4" t="s">
        <v>30</v>
      </c>
    </row>
    <row r="5" spans="1:8" x14ac:dyDescent="0.3">
      <c r="A5" t="s">
        <v>13</v>
      </c>
      <c r="B5" t="str">
        <f t="shared" si="0"/>
        <v>Bob Brown</v>
      </c>
      <c r="C5" t="s">
        <v>23</v>
      </c>
      <c r="D5" t="str">
        <f t="shared" si="1"/>
        <v>bob@example.com</v>
      </c>
      <c r="E5" t="str">
        <f t="shared" si="2"/>
        <v>example.com</v>
      </c>
      <c r="F5" t="str">
        <f t="shared" si="3"/>
        <v>Bob</v>
      </c>
      <c r="G5" t="str">
        <f t="shared" si="4"/>
        <v>xample.</v>
      </c>
      <c r="H5" t="s">
        <v>30</v>
      </c>
    </row>
    <row r="6" spans="1:8" x14ac:dyDescent="0.3">
      <c r="A6" t="s">
        <v>14</v>
      </c>
      <c r="B6" t="str">
        <f t="shared" si="0"/>
        <v>Eva White</v>
      </c>
      <c r="C6" t="s">
        <v>19</v>
      </c>
      <c r="D6" t="str">
        <f t="shared" si="1"/>
        <v>eva@example.com</v>
      </c>
      <c r="E6" t="str">
        <f t="shared" si="2"/>
        <v>example.com</v>
      </c>
      <c r="F6" t="str">
        <f t="shared" si="3"/>
        <v>Eva</v>
      </c>
      <c r="G6" t="str">
        <f t="shared" si="4"/>
        <v>xample.</v>
      </c>
      <c r="H6" t="s">
        <v>30</v>
      </c>
    </row>
    <row r="9" spans="1:8" x14ac:dyDescent="0.3">
      <c r="E9" t="s">
        <v>29</v>
      </c>
      <c r="F9" t="s">
        <v>31</v>
      </c>
      <c r="G9" t="str">
        <f>E9&amp;" "&amp;F9</f>
        <v>john doe</v>
      </c>
    </row>
    <row r="10" spans="1:8" x14ac:dyDescent="0.3">
      <c r="E10" t="s">
        <v>29</v>
      </c>
      <c r="F10" t="s">
        <v>31</v>
      </c>
      <c r="G10" t="str">
        <f>_xlfn.CONCAT(E10," ",F10)</f>
        <v>john doe</v>
      </c>
    </row>
    <row r="11" spans="1:8" x14ac:dyDescent="0.3">
      <c r="E11" t="s">
        <v>29</v>
      </c>
      <c r="G11" t="str">
        <f>_xlfn.TEXTJOIN(" ",FALSE,E11,F11)</f>
        <v xml:space="preserve">john </v>
      </c>
    </row>
  </sheetData>
  <dataValidations count="1">
    <dataValidation allowBlank="1" showInputMessage="1" showErrorMessage="1" sqref="A1:D6" xr:uid="{1A39D32A-9BDA-48F2-85C1-FA4E944FBC6C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FB35D-374C-43C1-979B-0E29343B536D}">
  <dimension ref="A1:E11"/>
  <sheetViews>
    <sheetView zoomScale="211" workbookViewId="0">
      <selection activeCell="F6" sqref="F6"/>
    </sheetView>
  </sheetViews>
  <sheetFormatPr defaultRowHeight="14.4" x14ac:dyDescent="0.3"/>
  <cols>
    <col min="1" max="1" width="11.109375" bestFit="1" customWidth="1"/>
    <col min="2" max="2" width="10.77734375" bestFit="1" customWidth="1"/>
    <col min="3" max="3" width="10.5546875" bestFit="1" customWidth="1"/>
  </cols>
  <sheetData>
    <row r="1" spans="1:5" x14ac:dyDescent="0.3">
      <c r="A1" s="1" t="s">
        <v>2</v>
      </c>
      <c r="B1" s="1" t="s">
        <v>5</v>
      </c>
    </row>
    <row r="2" spans="1:5" x14ac:dyDescent="0.3">
      <c r="A2" t="s">
        <v>20</v>
      </c>
      <c r="B2">
        <v>50000</v>
      </c>
    </row>
    <row r="3" spans="1:5" x14ac:dyDescent="0.3">
      <c r="A3" t="s">
        <v>21</v>
      </c>
      <c r="B3">
        <v>60000</v>
      </c>
    </row>
    <row r="4" spans="1:5" x14ac:dyDescent="0.3">
      <c r="A4" t="s">
        <v>20</v>
      </c>
      <c r="B4">
        <v>55000</v>
      </c>
    </row>
    <row r="5" spans="1:5" x14ac:dyDescent="0.3">
      <c r="A5" t="s">
        <v>22</v>
      </c>
      <c r="B5">
        <v>45000</v>
      </c>
      <c r="E5" t="s">
        <v>32</v>
      </c>
    </row>
    <row r="6" spans="1:5" x14ac:dyDescent="0.3">
      <c r="A6" t="s">
        <v>21</v>
      </c>
      <c r="B6">
        <v>70000</v>
      </c>
    </row>
    <row r="8" spans="1:5" x14ac:dyDescent="0.3">
      <c r="C8" t="s">
        <v>5</v>
      </c>
    </row>
    <row r="9" spans="1:5" x14ac:dyDescent="0.3">
      <c r="B9" t="s">
        <v>20</v>
      </c>
      <c r="C9">
        <v>105000</v>
      </c>
    </row>
    <row r="10" spans="1:5" x14ac:dyDescent="0.3">
      <c r="B10" t="s">
        <v>21</v>
      </c>
      <c r="C10">
        <v>130000</v>
      </c>
    </row>
    <row r="11" spans="1:5" x14ac:dyDescent="0.3">
      <c r="B11" t="s">
        <v>22</v>
      </c>
      <c r="C11">
        <v>45000</v>
      </c>
    </row>
  </sheetData>
  <dataConsolidate topLabels="1">
    <dataRefs count="1">
      <dataRef ref="A1:B6" sheet="Sheet2"/>
    </dataRefs>
  </dataConsolid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49645-E19A-4E3F-902E-C3FA8B6D32E9}">
  <dimension ref="A1:K16"/>
  <sheetViews>
    <sheetView tabSelected="1" zoomScale="145" workbookViewId="0">
      <selection activeCell="E11" sqref="E11"/>
    </sheetView>
  </sheetViews>
  <sheetFormatPr defaultRowHeight="14.4" outlineLevelRow="2" x14ac:dyDescent="0.3"/>
  <cols>
    <col min="1" max="1" width="24.44140625" bestFit="1" customWidth="1"/>
    <col min="2" max="2" width="11.109375" bestFit="1" customWidth="1"/>
    <col min="3" max="3" width="10.77734375" bestFit="1" customWidth="1"/>
    <col min="5" max="5" width="12.21875" bestFit="1" customWidth="1"/>
    <col min="6" max="6" width="11.109375" bestFit="1" customWidth="1"/>
    <col min="7" max="7" width="10.5546875" bestFit="1" customWidth="1"/>
    <col min="9" max="9" width="12.21875" bestFit="1" customWidth="1"/>
    <col min="10" max="10" width="14.77734375" bestFit="1" customWidth="1"/>
    <col min="11" max="11" width="10.5546875" bestFit="1" customWidth="1"/>
  </cols>
  <sheetData>
    <row r="1" spans="1:11" x14ac:dyDescent="0.3">
      <c r="A1" s="6" t="s">
        <v>0</v>
      </c>
      <c r="B1" s="5" t="s">
        <v>2</v>
      </c>
      <c r="C1" s="5" t="s">
        <v>5</v>
      </c>
      <c r="E1" s="6" t="s">
        <v>0</v>
      </c>
      <c r="F1" s="5" t="s">
        <v>2</v>
      </c>
      <c r="G1" s="5" t="s">
        <v>5</v>
      </c>
      <c r="I1" s="6" t="s">
        <v>0</v>
      </c>
      <c r="J1" s="5" t="s">
        <v>2</v>
      </c>
      <c r="K1" s="5" t="s">
        <v>5</v>
      </c>
    </row>
    <row r="2" spans="1:11" outlineLevel="2" x14ac:dyDescent="0.3">
      <c r="A2" s="6" t="s">
        <v>10</v>
      </c>
      <c r="B2" s="6" t="s">
        <v>20</v>
      </c>
      <c r="C2" s="6">
        <v>50000</v>
      </c>
      <c r="E2" s="6" t="s">
        <v>34</v>
      </c>
      <c r="F2" s="6" t="s">
        <v>20</v>
      </c>
      <c r="G2" s="6">
        <v>55000</v>
      </c>
      <c r="I2" s="6" t="s">
        <v>35</v>
      </c>
      <c r="J2" s="6" t="s">
        <v>22</v>
      </c>
      <c r="K2" s="6">
        <v>45000</v>
      </c>
    </row>
    <row r="3" spans="1:11" outlineLevel="1" x14ac:dyDescent="0.3">
      <c r="A3" s="6"/>
      <c r="B3" s="6"/>
      <c r="C3" s="6"/>
      <c r="E3" s="6"/>
      <c r="F3" s="6"/>
      <c r="G3" s="6"/>
      <c r="I3" s="6"/>
      <c r="J3" s="7" t="s">
        <v>45</v>
      </c>
      <c r="K3" s="6">
        <f>SUBTOTAL(9,K2:K2)</f>
        <v>45000</v>
      </c>
    </row>
    <row r="4" spans="1:11" outlineLevel="2" x14ac:dyDescent="0.3">
      <c r="A4" s="6" t="s">
        <v>33</v>
      </c>
      <c r="B4" s="6" t="s">
        <v>21</v>
      </c>
      <c r="C4" s="6">
        <v>60000</v>
      </c>
      <c r="E4" s="6" t="s">
        <v>35</v>
      </c>
      <c r="F4" s="6" t="s">
        <v>22</v>
      </c>
      <c r="G4" s="6">
        <v>45000</v>
      </c>
      <c r="I4" s="6" t="s">
        <v>14</v>
      </c>
      <c r="J4" s="6" t="s">
        <v>21</v>
      </c>
      <c r="K4" s="6">
        <v>70000</v>
      </c>
    </row>
    <row r="5" spans="1:11" outlineLevel="2" x14ac:dyDescent="0.3">
      <c r="A5" s="6" t="s">
        <v>34</v>
      </c>
      <c r="B5" s="6" t="s">
        <v>20</v>
      </c>
      <c r="C5" s="6">
        <v>55000</v>
      </c>
      <c r="E5" s="6" t="s">
        <v>14</v>
      </c>
      <c r="F5" s="6" t="s">
        <v>21</v>
      </c>
      <c r="G5" s="6">
        <v>70000</v>
      </c>
      <c r="I5" s="6" t="s">
        <v>33</v>
      </c>
      <c r="J5" s="6" t="s">
        <v>21</v>
      </c>
      <c r="K5" s="6">
        <v>60000</v>
      </c>
    </row>
    <row r="6" spans="1:11" outlineLevel="1" x14ac:dyDescent="0.3">
      <c r="A6" s="6"/>
      <c r="B6" s="6"/>
      <c r="C6" s="6"/>
      <c r="E6" s="6"/>
      <c r="F6" s="6"/>
      <c r="G6" s="6"/>
      <c r="I6" s="6"/>
      <c r="J6" s="7" t="s">
        <v>46</v>
      </c>
      <c r="K6" s="6">
        <f>SUBTOTAL(9,K4:K5)</f>
        <v>130000</v>
      </c>
    </row>
    <row r="7" spans="1:11" outlineLevel="2" x14ac:dyDescent="0.3">
      <c r="A7" s="6" t="s">
        <v>35</v>
      </c>
      <c r="B7" s="6" t="s">
        <v>22</v>
      </c>
      <c r="C7" s="6">
        <v>45000</v>
      </c>
      <c r="E7" s="6" t="s">
        <v>33</v>
      </c>
      <c r="F7" s="6" t="s">
        <v>21</v>
      </c>
      <c r="G7" s="6">
        <v>60000</v>
      </c>
      <c r="I7" s="6" t="s">
        <v>34</v>
      </c>
      <c r="J7" s="6" t="s">
        <v>20</v>
      </c>
      <c r="K7" s="6">
        <v>55000</v>
      </c>
    </row>
    <row r="8" spans="1:11" outlineLevel="2" x14ac:dyDescent="0.3">
      <c r="A8" s="6" t="s">
        <v>14</v>
      </c>
      <c r="B8" s="6" t="s">
        <v>21</v>
      </c>
      <c r="C8" s="6">
        <v>70000</v>
      </c>
      <c r="E8" s="6" t="s">
        <v>10</v>
      </c>
      <c r="F8" s="6" t="s">
        <v>20</v>
      </c>
      <c r="G8" s="6">
        <v>50000</v>
      </c>
      <c r="I8" s="6" t="s">
        <v>10</v>
      </c>
      <c r="J8" s="6" t="s">
        <v>20</v>
      </c>
      <c r="K8" s="6">
        <v>50000</v>
      </c>
    </row>
    <row r="9" spans="1:11" outlineLevel="1" x14ac:dyDescent="0.3">
      <c r="A9" s="8"/>
      <c r="B9" s="8"/>
      <c r="C9" s="8"/>
      <c r="E9" s="8"/>
      <c r="F9" s="8"/>
      <c r="G9" s="8"/>
      <c r="I9" s="8"/>
      <c r="J9" s="9" t="s">
        <v>47</v>
      </c>
      <c r="K9" s="8">
        <f>SUBTOTAL(9,K7:K8)</f>
        <v>105000</v>
      </c>
    </row>
    <row r="10" spans="1:11" x14ac:dyDescent="0.3">
      <c r="A10" s="8"/>
      <c r="B10" s="8"/>
      <c r="C10" s="8"/>
      <c r="E10" s="8"/>
      <c r="F10" s="8"/>
      <c r="G10" s="8"/>
      <c r="I10" s="8"/>
      <c r="J10" s="9" t="s">
        <v>44</v>
      </c>
      <c r="K10" s="8">
        <f>SUBTOTAL(9,K2:K8)</f>
        <v>280000</v>
      </c>
    </row>
    <row r="13" spans="1:11" x14ac:dyDescent="0.3">
      <c r="A13" t="s">
        <v>35</v>
      </c>
      <c r="B13" t="s">
        <v>36</v>
      </c>
      <c r="C13">
        <f>VLOOKUP(A13,A1:C8,3,0)</f>
        <v>45000</v>
      </c>
    </row>
    <row r="14" spans="1:11" x14ac:dyDescent="0.3">
      <c r="A14" t="s">
        <v>38</v>
      </c>
      <c r="B14" t="s">
        <v>37</v>
      </c>
      <c r="C14">
        <f>HLOOKUP(C1,A1:C8,3,0)</f>
        <v>0</v>
      </c>
      <c r="F14" t="s">
        <v>5</v>
      </c>
      <c r="G14" t="s">
        <v>2</v>
      </c>
    </row>
    <row r="15" spans="1:11" x14ac:dyDescent="0.3">
      <c r="A15" t="s">
        <v>41</v>
      </c>
      <c r="B15" t="s">
        <v>39</v>
      </c>
      <c r="C15">
        <f>INDEX(C1:C8,MATCH(A4,A1:A8))</f>
        <v>60000</v>
      </c>
      <c r="F15" t="s">
        <v>43</v>
      </c>
      <c r="G15" t="s">
        <v>21</v>
      </c>
    </row>
    <row r="16" spans="1:11" x14ac:dyDescent="0.3">
      <c r="A16" t="s">
        <v>42</v>
      </c>
      <c r="B16" t="s">
        <v>40</v>
      </c>
      <c r="C16">
        <f>_xlfn.XLOOKUP(A7,A1:A8,C1:C8)</f>
        <v>45000</v>
      </c>
    </row>
  </sheetData>
  <sortState xmlns:xlrd2="http://schemas.microsoft.com/office/spreadsheetml/2017/richdata2" ref="I2:K8">
    <sortCondition ref="J2:J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EmployeeData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Mr. sahil</cp:lastModifiedBy>
  <dcterms:created xsi:type="dcterms:W3CDTF">2025-06-26T08:34:41Z</dcterms:created>
  <dcterms:modified xsi:type="dcterms:W3CDTF">2026-02-10T10:45:13Z</dcterms:modified>
</cp:coreProperties>
</file>