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740F5205-112D-4CD3-85C4-C8A1527DDCEA}" xr6:coauthVersionLast="47" xr6:coauthVersionMax="47" xr10:uidLastSave="{00000000-0000-0000-0000-000000000000}"/>
  <bookViews>
    <workbookView xWindow="28680" yWindow="-120" windowWidth="29040" windowHeight="16440" xr2:uid="{D87EA80B-F92A-4772-8789-58DB20E5E2DE}"/>
  </bookViews>
  <sheets>
    <sheet name="2023" sheetId="2" r:id="rId1"/>
    <sheet name="2024" sheetId="1" r:id="rId2"/>
    <sheet name="2025" sheetId="3" r:id="rId3"/>
  </sheets>
  <definedNames>
    <definedName name="_xlnm.Print_Titles" localSheetId="0">'2023'!$1:$1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2" l="1"/>
  <c r="H60" i="2"/>
  <c r="G60" i="2"/>
  <c r="I60" i="2" s="1"/>
  <c r="G59" i="2"/>
  <c r="H59" i="2" s="1"/>
  <c r="G58" i="2"/>
  <c r="G57" i="2"/>
  <c r="H57" i="2" s="1"/>
  <c r="I57" i="2" s="1"/>
  <c r="H56" i="2"/>
  <c r="I56" i="2" s="1"/>
  <c r="G56" i="2"/>
  <c r="G55" i="2"/>
  <c r="G54" i="2"/>
  <c r="G53" i="2"/>
  <c r="H53" i="2" s="1"/>
  <c r="I53" i="2" s="1"/>
  <c r="H52" i="2"/>
  <c r="I52" i="2" s="1"/>
  <c r="G52" i="2"/>
  <c r="G51" i="2"/>
  <c r="G51" i="3"/>
  <c r="G50" i="3"/>
  <c r="G49" i="3"/>
  <c r="G48" i="3"/>
  <c r="G47" i="3"/>
  <c r="G46" i="3"/>
  <c r="G45" i="3"/>
  <c r="G44" i="3"/>
  <c r="G43" i="3"/>
  <c r="G42" i="3"/>
  <c r="G41" i="3"/>
  <c r="H40" i="3"/>
  <c r="G40" i="3"/>
  <c r="I40" i="3" s="1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H24" i="3"/>
  <c r="G24" i="3"/>
  <c r="I24" i="3" s="1"/>
  <c r="G23" i="3"/>
  <c r="G22" i="3"/>
  <c r="H22" i="3" s="1"/>
  <c r="I22" i="3" s="1"/>
  <c r="G21" i="3"/>
  <c r="G20" i="3"/>
  <c r="H19" i="3"/>
  <c r="G19" i="3"/>
  <c r="I19" i="3" s="1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4" i="3" s="1"/>
  <c r="I4" i="3" s="1"/>
  <c r="G3" i="3"/>
  <c r="G2" i="3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I54" i="2" l="1"/>
  <c r="I58" i="2"/>
  <c r="I59" i="2"/>
  <c r="H51" i="2"/>
  <c r="I51" i="2" s="1"/>
  <c r="H55" i="2"/>
  <c r="I55" i="2" s="1"/>
  <c r="H54" i="2"/>
  <c r="H58" i="2"/>
  <c r="H61" i="2"/>
  <c r="I61" i="2" s="1"/>
  <c r="H51" i="3"/>
  <c r="I51" i="3" s="1"/>
  <c r="H50" i="3"/>
  <c r="I50" i="3" s="1"/>
  <c r="H49" i="3"/>
  <c r="I49" i="3" s="1"/>
  <c r="H48" i="3"/>
  <c r="I48" i="3" s="1"/>
  <c r="H47" i="3"/>
  <c r="I47" i="3" s="1"/>
  <c r="I46" i="3"/>
  <c r="H46" i="3"/>
  <c r="H45" i="3"/>
  <c r="I45" i="3" s="1"/>
  <c r="H44" i="3"/>
  <c r="I44" i="3" s="1"/>
  <c r="H43" i="3"/>
  <c r="I43" i="3" s="1"/>
  <c r="H42" i="3"/>
  <c r="I42" i="3" s="1"/>
  <c r="H41" i="3"/>
  <c r="I41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I31" i="3"/>
  <c r="H31" i="3"/>
  <c r="H30" i="3"/>
  <c r="I30" i="3"/>
  <c r="H29" i="3"/>
  <c r="I29" i="3" s="1"/>
  <c r="H28" i="3"/>
  <c r="I28" i="3"/>
  <c r="H27" i="3"/>
  <c r="I27" i="3" s="1"/>
  <c r="H26" i="3"/>
  <c r="I26" i="3" s="1"/>
  <c r="H25" i="3"/>
  <c r="I25" i="3" s="1"/>
  <c r="H23" i="3"/>
  <c r="I23" i="3"/>
  <c r="H21" i="3"/>
  <c r="I21" i="3" s="1"/>
  <c r="H20" i="3"/>
  <c r="I20" i="3" s="1"/>
  <c r="H18" i="3"/>
  <c r="I18" i="3" s="1"/>
  <c r="H17" i="3"/>
  <c r="I17" i="3" s="1"/>
  <c r="H16" i="3"/>
  <c r="I16" i="3" s="1"/>
  <c r="H15" i="3"/>
  <c r="I15" i="3" s="1"/>
  <c r="H14" i="3"/>
  <c r="I14" i="3"/>
  <c r="H13" i="3"/>
  <c r="I13" i="3" s="1"/>
  <c r="H12" i="3"/>
  <c r="I12" i="3" s="1"/>
  <c r="H11" i="3"/>
  <c r="I11" i="3"/>
  <c r="H10" i="3"/>
  <c r="I10" i="3"/>
  <c r="H9" i="3"/>
  <c r="I9" i="3"/>
  <c r="H8" i="3"/>
  <c r="I8" i="3"/>
  <c r="H7" i="3"/>
  <c r="I7" i="3"/>
  <c r="H6" i="3"/>
  <c r="I6" i="3" s="1"/>
  <c r="H5" i="3"/>
  <c r="I5" i="3" s="1"/>
  <c r="H3" i="3"/>
  <c r="I3" i="3" s="1"/>
  <c r="H2" i="3"/>
  <c r="I2" i="3" s="1"/>
  <c r="H50" i="2"/>
  <c r="I50" i="2" s="1"/>
  <c r="I49" i="2"/>
  <c r="H49" i="2"/>
  <c r="H48" i="2"/>
  <c r="I48" i="2" s="1"/>
  <c r="H47" i="2"/>
  <c r="I47" i="2" s="1"/>
  <c r="H46" i="2"/>
  <c r="I46" i="2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/>
  <c r="H37" i="2"/>
  <c r="I37" i="2"/>
  <c r="H36" i="2"/>
  <c r="I36" i="2" s="1"/>
  <c r="H35" i="2"/>
  <c r="I35" i="2" s="1"/>
  <c r="H34" i="2"/>
  <c r="I34" i="2" s="1"/>
  <c r="H33" i="2"/>
  <c r="I33" i="2" s="1"/>
  <c r="H32" i="2"/>
  <c r="I32" i="2"/>
  <c r="H31" i="2"/>
  <c r="I31" i="2" s="1"/>
  <c r="H30" i="2"/>
  <c r="I30" i="2" s="1"/>
  <c r="H29" i="2"/>
  <c r="I29" i="2"/>
  <c r="H28" i="2"/>
  <c r="I28" i="2" s="1"/>
  <c r="H27" i="2"/>
  <c r="I27" i="2" s="1"/>
  <c r="H26" i="2"/>
  <c r="I26" i="2"/>
  <c r="H25" i="2"/>
  <c r="I25" i="2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/>
  <c r="H12" i="2"/>
  <c r="I12" i="2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</calcChain>
</file>

<file path=xl/sharedStrings.xml><?xml version="1.0" encoding="utf-8"?>
<sst xmlns="http://schemas.openxmlformats.org/spreadsheetml/2006/main" count="507" uniqueCount="77">
  <si>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</si>
  <si>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</si>
  <si>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</si>
  <si>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</si>
  <si>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</si>
  <si>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</si>
  <si>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</si>
  <si>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</si>
  <si>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Sneha</t>
  </si>
  <si>
    <t>Tablet</t>
  </si>
  <si>
    <t>T048</t>
  </si>
  <si>
    <t>Karan</t>
  </si>
  <si>
    <t>Monitor</t>
  </si>
  <si>
    <t>T030</t>
  </si>
  <si>
    <t>Amit</t>
  </si>
  <si>
    <t>Webcam</t>
  </si>
  <si>
    <t>T036</t>
  </si>
  <si>
    <t>Priya</t>
  </si>
  <si>
    <t>T018</t>
  </si>
  <si>
    <t>Neha</t>
  </si>
  <si>
    <t>T006</t>
  </si>
  <si>
    <t>Headphones</t>
  </si>
  <si>
    <t>T005</t>
  </si>
  <si>
    <t>T044</t>
  </si>
  <si>
    <t>Anita</t>
  </si>
  <si>
    <t>T034</t>
  </si>
  <si>
    <t>Laptop</t>
  </si>
  <si>
    <t>T046</t>
  </si>
  <si>
    <t>T002</t>
  </si>
  <si>
    <t>Keyboard</t>
  </si>
  <si>
    <t>T016</t>
  </si>
  <si>
    <t>T026</t>
  </si>
  <si>
    <t>Rahul</t>
  </si>
  <si>
    <t>Mouse</t>
  </si>
  <si>
    <t>T004</t>
  </si>
  <si>
    <t>T043</t>
  </si>
  <si>
    <t>Printer</t>
  </si>
  <si>
    <t>T022</t>
  </si>
  <si>
    <t>Vikram</t>
  </si>
  <si>
    <t>T001</t>
  </si>
  <si>
    <t>Pooja</t>
  </si>
  <si>
    <t>T037</t>
  </si>
  <si>
    <t>T039</t>
  </si>
  <si>
    <t>T009</t>
  </si>
  <si>
    <t>T032</t>
  </si>
  <si>
    <t>T003</t>
  </si>
  <si>
    <t>T020</t>
  </si>
  <si>
    <t>T033</t>
  </si>
  <si>
    <t>T023</t>
  </si>
  <si>
    <t>T040</t>
  </si>
  <si>
    <t>T047</t>
  </si>
  <si>
    <t>T025</t>
  </si>
  <si>
    <t>T042</t>
  </si>
  <si>
    <t>T049</t>
  </si>
  <si>
    <t>T045</t>
  </si>
  <si>
    <t>T024</t>
  </si>
  <si>
    <t>T031</t>
  </si>
  <si>
    <t>T019</t>
  </si>
  <si>
    <t>T029</t>
  </si>
  <si>
    <t>T021</t>
  </si>
  <si>
    <t>T012</t>
  </si>
  <si>
    <t>T013</t>
  </si>
  <si>
    <t>T010</t>
  </si>
  <si>
    <t>T041</t>
  </si>
  <si>
    <t>T035</t>
  </si>
  <si>
    <t>T028</t>
  </si>
  <si>
    <t>T008</t>
  </si>
  <si>
    <t>T017</t>
  </si>
  <si>
    <t>T014</t>
  </si>
  <si>
    <t>T007</t>
  </si>
  <si>
    <t>T015</t>
  </si>
  <si>
    <t>T050</t>
  </si>
  <si>
    <t>T011</t>
  </si>
  <si>
    <t>T027</t>
  </si>
  <si>
    <t>Mon</t>
  </si>
  <si>
    <t>Discount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</si>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</sst>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68FA-F9B9-4A5B-8AE3-9BFBE3176FB1}">
  <sheetPr>
    <pageSetUpPr fitToPage="1"/>
  </sheetPr>
  <dimension ref="A1:I61"/>
  <sheetViews>
    <sheetView tabSelected="1" zoomScale="175" zoomScaleNormal="175" zoomScalePageLayoutView="85" workbookViewId="0">
      <selection activeCell="K11" sqref="K11"/>
    </sheetView>
  </sheetViews>
  <sheetFormatPr defaultRowHeight="14.4" x14ac:dyDescent="0.3"/>
  <cols>
    <col min="1" max="1" width="13" bestFit="1" customWidth="1"/>
    <col min="2" max="2" width="10.44140625" bestFit="1" customWidth="1"/>
    <col min="3" max="3" width="14.88671875" bestFit="1" customWidth="1"/>
    <col min="4" max="4" width="11.21875" bestFit="1" customWidth="1"/>
    <col min="5" max="5" width="9.5546875" bestFit="1" customWidth="1"/>
    <col min="6" max="6" width="12.88671875" bestFit="1" customWidth="1"/>
    <col min="7" max="7" width="10.21875" bestFit="1" customWidth="1"/>
    <col min="8" max="8" width="9" bestFit="1" customWidth="1"/>
    <col min="9" max="9" width="10.1093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9" x14ac:dyDescent="0.3">
      <c r="A2" t="s">
        <v>7</v>
      </c>
      <c r="B2" s="2">
        <v>45076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44931</v>
      </c>
      <c r="C3" t="s">
        <v>11</v>
      </c>
      <c r="D3" t="s">
        <v>12</v>
      </c>
      <c r="E3">
        <v>2</v>
      </c>
      <c r="F3">
        <v>3963</v>
      </c>
      <c r="G3">
        <f t="shared" ref="G3:G50" si="0">E3*F3</f>
        <v>7926</v>
      </c>
      <c r="H3">
        <f t="shared" ref="H3:H50" si="1">G3*5%</f>
        <v>396.3</v>
      </c>
      <c r="I3">
        <f t="shared" ref="I3:I50" si="2">G3-H3</f>
        <v>7529.7</v>
      </c>
    </row>
    <row r="4" spans="1:9" x14ac:dyDescent="0.3">
      <c r="A4" t="s">
        <v>13</v>
      </c>
      <c r="B4" s="2">
        <v>45218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45054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45159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44944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45113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45133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44949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45026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45009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44936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44941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44966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45188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44996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45140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44953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45163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45129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45208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45117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44978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45184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45203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44958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44957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44968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45026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45129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44934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45037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45069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44955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45016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44945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45107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45066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45208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45109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45041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45004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44991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45187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45101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44996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45170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44940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45023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39</v>
      </c>
      <c r="B51" s="2">
        <v>45140</v>
      </c>
      <c r="C51" t="s">
        <v>40</v>
      </c>
      <c r="D51" t="s">
        <v>74</v>
      </c>
      <c r="E51">
        <v>2</v>
      </c>
      <c r="F51">
        <v>25187</v>
      </c>
      <c r="G51">
        <f t="shared" ref="G51:G61" si="3">E51*F51</f>
        <v>50374</v>
      </c>
      <c r="H51">
        <f t="shared" ref="H51:H61" si="4">G51*5%</f>
        <v>2518.7000000000003</v>
      </c>
      <c r="I51">
        <f t="shared" ref="I51:I61" si="5">G51-H51</f>
        <v>47855.3</v>
      </c>
    </row>
    <row r="52" spans="1:9" x14ac:dyDescent="0.3">
      <c r="A52" t="s">
        <v>41</v>
      </c>
      <c r="B52" s="2">
        <v>44953</v>
      </c>
      <c r="C52" t="s">
        <v>8</v>
      </c>
      <c r="D52" t="s">
        <v>9</v>
      </c>
      <c r="E52">
        <v>6</v>
      </c>
      <c r="F52">
        <v>8543</v>
      </c>
      <c r="G52">
        <f t="shared" si="3"/>
        <v>51258</v>
      </c>
      <c r="H52">
        <f t="shared" si="4"/>
        <v>2562.9</v>
      </c>
      <c r="I52">
        <f t="shared" si="5"/>
        <v>48695.1</v>
      </c>
    </row>
    <row r="53" spans="1:9" x14ac:dyDescent="0.3">
      <c r="A53" t="s">
        <v>42</v>
      </c>
      <c r="B53" s="2">
        <v>45163</v>
      </c>
      <c r="C53" t="s">
        <v>32</v>
      </c>
      <c r="D53" t="s">
        <v>15</v>
      </c>
      <c r="E53">
        <v>6</v>
      </c>
      <c r="F53">
        <v>10333</v>
      </c>
      <c r="G53">
        <f t="shared" si="3"/>
        <v>61998</v>
      </c>
      <c r="H53">
        <f t="shared" si="4"/>
        <v>3099.9</v>
      </c>
      <c r="I53">
        <f t="shared" si="5"/>
        <v>58898.1</v>
      </c>
    </row>
    <row r="54" spans="1:9" x14ac:dyDescent="0.3">
      <c r="A54" t="s">
        <v>43</v>
      </c>
      <c r="B54" s="2">
        <v>45129</v>
      </c>
      <c r="C54" t="s">
        <v>14</v>
      </c>
      <c r="D54" t="s">
        <v>33</v>
      </c>
      <c r="E54">
        <v>3</v>
      </c>
      <c r="F54">
        <v>20756</v>
      </c>
      <c r="G54">
        <f t="shared" si="3"/>
        <v>62268</v>
      </c>
      <c r="H54">
        <f t="shared" si="4"/>
        <v>3113.4</v>
      </c>
      <c r="I54">
        <f t="shared" si="5"/>
        <v>59154.6</v>
      </c>
    </row>
    <row r="55" spans="1:9" x14ac:dyDescent="0.3">
      <c r="A55" t="s">
        <v>44</v>
      </c>
      <c r="B55" s="2">
        <v>45208</v>
      </c>
      <c r="C55" t="s">
        <v>11</v>
      </c>
      <c r="D55" t="s">
        <v>29</v>
      </c>
      <c r="E55">
        <v>4</v>
      </c>
      <c r="F55">
        <v>15733</v>
      </c>
      <c r="G55">
        <f t="shared" si="3"/>
        <v>62932</v>
      </c>
      <c r="H55">
        <f t="shared" si="4"/>
        <v>3146.6000000000004</v>
      </c>
      <c r="I55">
        <f t="shared" si="5"/>
        <v>59785.4</v>
      </c>
    </row>
    <row r="56" spans="1:9" x14ac:dyDescent="0.3">
      <c r="A56" t="s">
        <v>45</v>
      </c>
      <c r="B56" s="2">
        <v>45117</v>
      </c>
      <c r="C56" t="s">
        <v>8</v>
      </c>
      <c r="D56" t="s">
        <v>33</v>
      </c>
      <c r="E56">
        <v>3</v>
      </c>
      <c r="F56">
        <v>21025</v>
      </c>
      <c r="G56">
        <f t="shared" si="3"/>
        <v>63075</v>
      </c>
      <c r="H56">
        <f t="shared" si="4"/>
        <v>3153.75</v>
      </c>
      <c r="I56">
        <f t="shared" si="5"/>
        <v>59921.25</v>
      </c>
    </row>
    <row r="57" spans="1:9" x14ac:dyDescent="0.3">
      <c r="A57" t="s">
        <v>46</v>
      </c>
      <c r="B57" s="2">
        <v>44978</v>
      </c>
      <c r="C57" t="s">
        <v>32</v>
      </c>
      <c r="D57" t="s">
        <v>15</v>
      </c>
      <c r="E57">
        <v>3</v>
      </c>
      <c r="F57">
        <v>26115</v>
      </c>
      <c r="G57">
        <f t="shared" si="3"/>
        <v>78345</v>
      </c>
      <c r="H57">
        <f t="shared" si="4"/>
        <v>3917.25</v>
      </c>
      <c r="I57">
        <f t="shared" si="5"/>
        <v>74427.75</v>
      </c>
    </row>
    <row r="58" spans="1:9" x14ac:dyDescent="0.3">
      <c r="A58" t="s">
        <v>47</v>
      </c>
      <c r="B58" s="2">
        <v>45184</v>
      </c>
      <c r="C58" t="s">
        <v>40</v>
      </c>
      <c r="D58" t="s">
        <v>74</v>
      </c>
      <c r="E58">
        <v>2</v>
      </c>
      <c r="F58">
        <v>39386</v>
      </c>
      <c r="G58">
        <f t="shared" si="3"/>
        <v>78772</v>
      </c>
      <c r="H58">
        <f t="shared" si="4"/>
        <v>3938.6000000000004</v>
      </c>
      <c r="I58">
        <f t="shared" si="5"/>
        <v>74833.399999999994</v>
      </c>
    </row>
    <row r="59" spans="1:9" x14ac:dyDescent="0.3">
      <c r="A59" t="s">
        <v>48</v>
      </c>
      <c r="B59" s="2">
        <v>45203</v>
      </c>
      <c r="C59" t="s">
        <v>19</v>
      </c>
      <c r="D59" t="s">
        <v>26</v>
      </c>
      <c r="E59">
        <v>2</v>
      </c>
      <c r="F59">
        <v>39966</v>
      </c>
      <c r="G59">
        <f t="shared" si="3"/>
        <v>79932</v>
      </c>
      <c r="H59">
        <f t="shared" si="4"/>
        <v>3996.6000000000004</v>
      </c>
      <c r="I59">
        <f t="shared" si="5"/>
        <v>75935.399999999994</v>
      </c>
    </row>
    <row r="60" spans="1:9" x14ac:dyDescent="0.3">
      <c r="A60" t="s">
        <v>49</v>
      </c>
      <c r="B60" s="2">
        <v>44958</v>
      </c>
      <c r="C60" t="s">
        <v>14</v>
      </c>
      <c r="D60" t="s">
        <v>12</v>
      </c>
      <c r="E60">
        <v>4</v>
      </c>
      <c r="F60">
        <v>20393</v>
      </c>
      <c r="G60">
        <f t="shared" si="3"/>
        <v>81572</v>
      </c>
      <c r="H60">
        <f t="shared" si="4"/>
        <v>4078.6000000000004</v>
      </c>
      <c r="I60">
        <f t="shared" si="5"/>
        <v>77493.399999999994</v>
      </c>
    </row>
    <row r="61" spans="1:9" x14ac:dyDescent="0.3">
      <c r="A61" t="s">
        <v>50</v>
      </c>
      <c r="B61" s="2">
        <v>44957</v>
      </c>
      <c r="C61" t="s">
        <v>8</v>
      </c>
      <c r="D61" t="s">
        <v>12</v>
      </c>
      <c r="E61">
        <v>10</v>
      </c>
      <c r="F61">
        <v>8242</v>
      </c>
      <c r="G61">
        <f t="shared" si="3"/>
        <v>82420</v>
      </c>
      <c r="H61">
        <f t="shared" si="4"/>
        <v>4121</v>
      </c>
      <c r="I61">
        <f t="shared" si="5"/>
        <v>78299</v>
      </c>
    </row>
  </sheetData>
  <pageMargins left="0.7" right="0.7" top="0.75" bottom="0.75" header="0.3" footer="0.3"/>
  <pageSetup paperSize="9" scale="86" fitToHeight="0" orientation="portrait" r:id="rId1"/>
  <headerFooter>
    <oddHeader xml:space="preserve">&amp;C
&amp;G
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I51"/>
  <sheetViews>
    <sheetView zoomScale="175" zoomScaleNormal="175" workbookViewId="0">
      <selection activeCell="B19" sqref="B19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1.77734375" customWidth="1"/>
    <col min="6" max="6" width="14.44140625" customWidth="1"/>
    <col min="7" max="7" width="12" customWidth="1"/>
    <col min="8" max="8" width="10.88671875" customWidth="1"/>
    <col min="9" max="9" width="1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</row>
    <row r="2" spans="1:9" x14ac:dyDescent="0.3">
      <c r="A2" t="s">
        <v>7</v>
      </c>
      <c r="B2" s="2">
        <v>45442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45296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 x14ac:dyDescent="0.3">
      <c r="A4" t="s">
        <v>13</v>
      </c>
      <c r="B4" s="2">
        <v>45584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45420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45525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45309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45479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45499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45314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45392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45375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45301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45306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45331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45554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45362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45506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45318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45529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45495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45574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45483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45343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45550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45569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45323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45322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45333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45392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45495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45299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45403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45435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45320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45382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45310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45473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45432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45574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45475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45407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45370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45357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45553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45467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45362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45536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45305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45389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73</v>
      </c>
      <c r="B51" s="2">
        <v>45519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DF9-567B-4D2F-9720-ED8C6BBD8F9B}">
  <dimension ref="A1:I51"/>
  <sheetViews>
    <sheetView zoomScale="220" zoomScaleNormal="220" workbookViewId="0">
      <selection activeCell="K14" sqref="K14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9.33203125" bestFit="1" customWidth="1"/>
    <col min="6" max="6" width="12.77734375" bestFit="1" customWidth="1"/>
    <col min="7" max="7" width="10" bestFit="1" customWidth="1"/>
    <col min="8" max="8" width="9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</row>
    <row r="2" spans="1:9" x14ac:dyDescent="0.3">
      <c r="A2" t="s">
        <v>7</v>
      </c>
      <c r="B2" s="2">
        <v>45807</v>
      </c>
      <c r="C2" t="s">
        <v>8</v>
      </c>
      <c r="D2" t="s">
        <v>9</v>
      </c>
      <c r="E2">
        <v>3</v>
      </c>
      <c r="F2">
        <v>1764</v>
      </c>
      <c r="G2">
        <f>E2*F2</f>
        <v>5292</v>
      </c>
      <c r="H2">
        <f>G2*5%</f>
        <v>264.60000000000002</v>
      </c>
      <c r="I2">
        <f>G2-H2</f>
        <v>5027.3999999999996</v>
      </c>
    </row>
    <row r="3" spans="1:9" x14ac:dyDescent="0.3">
      <c r="A3" t="s">
        <v>10</v>
      </c>
      <c r="B3" s="2">
        <v>45662</v>
      </c>
      <c r="C3" t="s">
        <v>11</v>
      </c>
      <c r="D3" t="s">
        <v>12</v>
      </c>
      <c r="E3">
        <v>2</v>
      </c>
      <c r="F3">
        <v>3963</v>
      </c>
      <c r="G3">
        <f t="shared" ref="G3:G51" si="0">E3*F3</f>
        <v>7926</v>
      </c>
      <c r="H3">
        <f t="shared" ref="H3:H51" si="1">G3*5%</f>
        <v>396.3</v>
      </c>
      <c r="I3">
        <f t="shared" ref="I3:I51" si="2">G3-H3</f>
        <v>7529.7</v>
      </c>
    </row>
    <row r="4" spans="1:9" x14ac:dyDescent="0.3">
      <c r="A4" t="s">
        <v>13</v>
      </c>
      <c r="B4" s="2">
        <v>45949</v>
      </c>
      <c r="C4" t="s">
        <v>14</v>
      </c>
      <c r="D4" t="s">
        <v>15</v>
      </c>
      <c r="E4">
        <v>2</v>
      </c>
      <c r="F4">
        <v>5389</v>
      </c>
      <c r="G4">
        <f t="shared" si="0"/>
        <v>10778</v>
      </c>
      <c r="H4">
        <f t="shared" si="1"/>
        <v>538.9</v>
      </c>
      <c r="I4">
        <f t="shared" si="2"/>
        <v>10239.1</v>
      </c>
    </row>
    <row r="5" spans="1:9" x14ac:dyDescent="0.3">
      <c r="A5" t="s">
        <v>16</v>
      </c>
      <c r="B5" s="2">
        <v>45785</v>
      </c>
      <c r="C5" t="s">
        <v>17</v>
      </c>
      <c r="D5" t="s">
        <v>9</v>
      </c>
      <c r="E5">
        <v>3</v>
      </c>
      <c r="F5">
        <v>4486</v>
      </c>
      <c r="G5">
        <f t="shared" si="0"/>
        <v>13458</v>
      </c>
      <c r="H5">
        <f t="shared" si="1"/>
        <v>672.90000000000009</v>
      </c>
      <c r="I5">
        <f t="shared" si="2"/>
        <v>12785.1</v>
      </c>
    </row>
    <row r="6" spans="1:9" x14ac:dyDescent="0.3">
      <c r="A6" t="s">
        <v>18</v>
      </c>
      <c r="B6" s="2">
        <v>45890</v>
      </c>
      <c r="C6" t="s">
        <v>19</v>
      </c>
      <c r="D6" t="s">
        <v>9</v>
      </c>
      <c r="E6">
        <v>1</v>
      </c>
      <c r="F6">
        <v>15787</v>
      </c>
      <c r="G6">
        <f t="shared" si="0"/>
        <v>15787</v>
      </c>
      <c r="H6">
        <f t="shared" si="1"/>
        <v>789.35</v>
      </c>
      <c r="I6">
        <f t="shared" si="2"/>
        <v>14997.65</v>
      </c>
    </row>
    <row r="7" spans="1:9" x14ac:dyDescent="0.3">
      <c r="A7" t="s">
        <v>20</v>
      </c>
      <c r="B7" s="2">
        <v>45675</v>
      </c>
      <c r="C7" t="s">
        <v>11</v>
      </c>
      <c r="D7" t="s">
        <v>21</v>
      </c>
      <c r="E7">
        <v>1</v>
      </c>
      <c r="F7">
        <v>20040</v>
      </c>
      <c r="G7">
        <f t="shared" si="0"/>
        <v>20040</v>
      </c>
      <c r="H7">
        <f t="shared" si="1"/>
        <v>1002</v>
      </c>
      <c r="I7">
        <f t="shared" si="2"/>
        <v>19038</v>
      </c>
    </row>
    <row r="8" spans="1:9" x14ac:dyDescent="0.3">
      <c r="A8" t="s">
        <v>22</v>
      </c>
      <c r="B8" s="2">
        <v>45844</v>
      </c>
      <c r="C8" t="s">
        <v>14</v>
      </c>
      <c r="D8" t="s">
        <v>15</v>
      </c>
      <c r="E8">
        <v>1</v>
      </c>
      <c r="F8">
        <v>22955</v>
      </c>
      <c r="G8">
        <f t="shared" si="0"/>
        <v>22955</v>
      </c>
      <c r="H8">
        <f t="shared" si="1"/>
        <v>1147.75</v>
      </c>
      <c r="I8">
        <f t="shared" si="2"/>
        <v>21807.25</v>
      </c>
    </row>
    <row r="9" spans="1:9" x14ac:dyDescent="0.3">
      <c r="A9" t="s">
        <v>23</v>
      </c>
      <c r="B9" s="2">
        <v>45864</v>
      </c>
      <c r="C9" t="s">
        <v>24</v>
      </c>
      <c r="D9" t="s">
        <v>74</v>
      </c>
      <c r="E9">
        <v>1</v>
      </c>
      <c r="F9">
        <v>31617</v>
      </c>
      <c r="G9">
        <f t="shared" si="0"/>
        <v>31617</v>
      </c>
      <c r="H9">
        <f t="shared" si="1"/>
        <v>1580.8500000000001</v>
      </c>
      <c r="I9">
        <f t="shared" si="2"/>
        <v>30036.15</v>
      </c>
    </row>
    <row r="10" spans="1:9" x14ac:dyDescent="0.3">
      <c r="A10" t="s">
        <v>25</v>
      </c>
      <c r="B10" s="2">
        <v>45680</v>
      </c>
      <c r="C10" t="s">
        <v>8</v>
      </c>
      <c r="D10" t="s">
        <v>26</v>
      </c>
      <c r="E10">
        <v>2</v>
      </c>
      <c r="F10">
        <v>18344</v>
      </c>
      <c r="G10">
        <f t="shared" si="0"/>
        <v>36688</v>
      </c>
      <c r="H10">
        <f t="shared" si="1"/>
        <v>1834.4</v>
      </c>
      <c r="I10">
        <f t="shared" si="2"/>
        <v>34853.599999999999</v>
      </c>
    </row>
    <row r="11" spans="1:9" x14ac:dyDescent="0.3">
      <c r="A11" t="s">
        <v>27</v>
      </c>
      <c r="B11" s="2">
        <v>45757</v>
      </c>
      <c r="C11" t="s">
        <v>19</v>
      </c>
      <c r="D11" t="s">
        <v>21</v>
      </c>
      <c r="E11">
        <v>1</v>
      </c>
      <c r="F11">
        <v>38182</v>
      </c>
      <c r="G11">
        <f t="shared" si="0"/>
        <v>38182</v>
      </c>
      <c r="H11">
        <f t="shared" si="1"/>
        <v>1909.1000000000001</v>
      </c>
      <c r="I11">
        <f t="shared" si="2"/>
        <v>36272.9</v>
      </c>
    </row>
    <row r="12" spans="1:9" x14ac:dyDescent="0.3">
      <c r="A12" t="s">
        <v>28</v>
      </c>
      <c r="B12" s="2">
        <v>45740</v>
      </c>
      <c r="C12" t="s">
        <v>11</v>
      </c>
      <c r="D12" t="s">
        <v>29</v>
      </c>
      <c r="E12">
        <v>1</v>
      </c>
      <c r="F12">
        <v>39672</v>
      </c>
      <c r="G12">
        <f t="shared" si="0"/>
        <v>39672</v>
      </c>
      <c r="H12">
        <f t="shared" si="1"/>
        <v>1983.6000000000001</v>
      </c>
      <c r="I12">
        <f t="shared" si="2"/>
        <v>37688.400000000001</v>
      </c>
    </row>
    <row r="13" spans="1:9" x14ac:dyDescent="0.3">
      <c r="A13" t="s">
        <v>30</v>
      </c>
      <c r="B13" s="2">
        <v>45667</v>
      </c>
      <c r="C13" t="s">
        <v>17</v>
      </c>
      <c r="D13" t="s">
        <v>9</v>
      </c>
      <c r="E13">
        <v>2</v>
      </c>
      <c r="F13">
        <v>20241</v>
      </c>
      <c r="G13">
        <f t="shared" si="0"/>
        <v>40482</v>
      </c>
      <c r="H13">
        <f t="shared" si="1"/>
        <v>2024.1000000000001</v>
      </c>
      <c r="I13">
        <f t="shared" si="2"/>
        <v>38457.9</v>
      </c>
    </row>
    <row r="14" spans="1:9" x14ac:dyDescent="0.3">
      <c r="A14" t="s">
        <v>31</v>
      </c>
      <c r="B14" s="2">
        <v>45672</v>
      </c>
      <c r="C14" t="s">
        <v>32</v>
      </c>
      <c r="D14" t="s">
        <v>33</v>
      </c>
      <c r="E14">
        <v>5</v>
      </c>
      <c r="F14">
        <v>8381</v>
      </c>
      <c r="G14">
        <f t="shared" si="0"/>
        <v>41905</v>
      </c>
      <c r="H14">
        <f t="shared" si="1"/>
        <v>2095.25</v>
      </c>
      <c r="I14">
        <f t="shared" si="2"/>
        <v>39809.75</v>
      </c>
    </row>
    <row r="15" spans="1:9" x14ac:dyDescent="0.3">
      <c r="A15" t="s">
        <v>34</v>
      </c>
      <c r="B15" s="2">
        <v>45697</v>
      </c>
      <c r="C15" t="s">
        <v>32</v>
      </c>
      <c r="D15" t="s">
        <v>33</v>
      </c>
      <c r="E15">
        <v>5</v>
      </c>
      <c r="F15">
        <v>9236</v>
      </c>
      <c r="G15">
        <f t="shared" si="0"/>
        <v>46180</v>
      </c>
      <c r="H15">
        <f t="shared" si="1"/>
        <v>2309</v>
      </c>
      <c r="I15">
        <f t="shared" si="2"/>
        <v>43871</v>
      </c>
    </row>
    <row r="16" spans="1:9" x14ac:dyDescent="0.3">
      <c r="A16" t="s">
        <v>35</v>
      </c>
      <c r="B16" s="2">
        <v>45919</v>
      </c>
      <c r="C16" t="s">
        <v>11</v>
      </c>
      <c r="D16" t="s">
        <v>36</v>
      </c>
      <c r="E16">
        <v>1</v>
      </c>
      <c r="F16">
        <v>48777</v>
      </c>
      <c r="G16">
        <f t="shared" si="0"/>
        <v>48777</v>
      </c>
      <c r="H16">
        <f t="shared" si="1"/>
        <v>2438.85</v>
      </c>
      <c r="I16">
        <f t="shared" si="2"/>
        <v>46338.15</v>
      </c>
    </row>
    <row r="17" spans="1:9" x14ac:dyDescent="0.3">
      <c r="A17" t="s">
        <v>37</v>
      </c>
      <c r="B17" s="2">
        <v>45727</v>
      </c>
      <c r="C17" t="s">
        <v>38</v>
      </c>
      <c r="D17" t="s">
        <v>9</v>
      </c>
      <c r="E17">
        <v>1</v>
      </c>
      <c r="F17">
        <v>49773</v>
      </c>
      <c r="G17">
        <f t="shared" si="0"/>
        <v>49773</v>
      </c>
      <c r="H17">
        <f t="shared" si="1"/>
        <v>2488.65</v>
      </c>
      <c r="I17">
        <f t="shared" si="2"/>
        <v>47284.35</v>
      </c>
    </row>
    <row r="18" spans="1:9" x14ac:dyDescent="0.3">
      <c r="A18" t="s">
        <v>39</v>
      </c>
      <c r="B18" s="2">
        <v>45871</v>
      </c>
      <c r="C18" t="s">
        <v>40</v>
      </c>
      <c r="D18" t="s">
        <v>74</v>
      </c>
      <c r="E18">
        <v>2</v>
      </c>
      <c r="F18">
        <v>25187</v>
      </c>
      <c r="G18">
        <f t="shared" si="0"/>
        <v>50374</v>
      </c>
      <c r="H18">
        <f t="shared" si="1"/>
        <v>2518.7000000000003</v>
      </c>
      <c r="I18">
        <f t="shared" si="2"/>
        <v>47855.3</v>
      </c>
    </row>
    <row r="19" spans="1:9" x14ac:dyDescent="0.3">
      <c r="A19" t="s">
        <v>41</v>
      </c>
      <c r="B19" s="2">
        <v>45684</v>
      </c>
      <c r="C19" t="s">
        <v>8</v>
      </c>
      <c r="D19" t="s">
        <v>9</v>
      </c>
      <c r="E19">
        <v>6</v>
      </c>
      <c r="F19">
        <v>8543</v>
      </c>
      <c r="G19">
        <f t="shared" si="0"/>
        <v>51258</v>
      </c>
      <c r="H19">
        <f t="shared" si="1"/>
        <v>2562.9</v>
      </c>
      <c r="I19">
        <f t="shared" si="2"/>
        <v>48695.1</v>
      </c>
    </row>
    <row r="20" spans="1:9" x14ac:dyDescent="0.3">
      <c r="A20" t="s">
        <v>42</v>
      </c>
      <c r="B20" s="2">
        <v>45894</v>
      </c>
      <c r="C20" t="s">
        <v>32</v>
      </c>
      <c r="D20" t="s">
        <v>15</v>
      </c>
      <c r="E20">
        <v>6</v>
      </c>
      <c r="F20">
        <v>10333</v>
      </c>
      <c r="G20">
        <f t="shared" si="0"/>
        <v>61998</v>
      </c>
      <c r="H20">
        <f t="shared" si="1"/>
        <v>3099.9</v>
      </c>
      <c r="I20">
        <f t="shared" si="2"/>
        <v>58898.1</v>
      </c>
    </row>
    <row r="21" spans="1:9" x14ac:dyDescent="0.3">
      <c r="A21" t="s">
        <v>43</v>
      </c>
      <c r="B21" s="2">
        <v>45860</v>
      </c>
      <c r="C21" t="s">
        <v>14</v>
      </c>
      <c r="D21" t="s">
        <v>33</v>
      </c>
      <c r="E21">
        <v>3</v>
      </c>
      <c r="F21">
        <v>20756</v>
      </c>
      <c r="G21">
        <f t="shared" si="0"/>
        <v>62268</v>
      </c>
      <c r="H21">
        <f t="shared" si="1"/>
        <v>3113.4</v>
      </c>
      <c r="I21">
        <f t="shared" si="2"/>
        <v>59154.6</v>
      </c>
    </row>
    <row r="22" spans="1:9" x14ac:dyDescent="0.3">
      <c r="A22" t="s">
        <v>44</v>
      </c>
      <c r="B22" s="2">
        <v>45939</v>
      </c>
      <c r="C22" t="s">
        <v>11</v>
      </c>
      <c r="D22" t="s">
        <v>29</v>
      </c>
      <c r="E22">
        <v>4</v>
      </c>
      <c r="F22">
        <v>15733</v>
      </c>
      <c r="G22">
        <f t="shared" si="0"/>
        <v>62932</v>
      </c>
      <c r="H22">
        <f t="shared" si="1"/>
        <v>3146.6000000000004</v>
      </c>
      <c r="I22">
        <f t="shared" si="2"/>
        <v>59785.4</v>
      </c>
    </row>
    <row r="23" spans="1:9" x14ac:dyDescent="0.3">
      <c r="A23" t="s">
        <v>45</v>
      </c>
      <c r="B23" s="2">
        <v>45848</v>
      </c>
      <c r="C23" t="s">
        <v>8</v>
      </c>
      <c r="D23" t="s">
        <v>33</v>
      </c>
      <c r="E23">
        <v>3</v>
      </c>
      <c r="F23">
        <v>21025</v>
      </c>
      <c r="G23">
        <f t="shared" si="0"/>
        <v>63075</v>
      </c>
      <c r="H23">
        <f t="shared" si="1"/>
        <v>3153.75</v>
      </c>
      <c r="I23">
        <f t="shared" si="2"/>
        <v>59921.25</v>
      </c>
    </row>
    <row r="24" spans="1:9" x14ac:dyDescent="0.3">
      <c r="A24" t="s">
        <v>46</v>
      </c>
      <c r="B24" s="2">
        <v>45709</v>
      </c>
      <c r="C24" t="s">
        <v>32</v>
      </c>
      <c r="D24" t="s">
        <v>15</v>
      </c>
      <c r="E24">
        <v>3</v>
      </c>
      <c r="F24">
        <v>26115</v>
      </c>
      <c r="G24">
        <f t="shared" si="0"/>
        <v>78345</v>
      </c>
      <c r="H24">
        <f t="shared" si="1"/>
        <v>3917.25</v>
      </c>
      <c r="I24">
        <f t="shared" si="2"/>
        <v>74427.75</v>
      </c>
    </row>
    <row r="25" spans="1:9" x14ac:dyDescent="0.3">
      <c r="A25" t="s">
        <v>47</v>
      </c>
      <c r="B25" s="2">
        <v>45915</v>
      </c>
      <c r="C25" t="s">
        <v>40</v>
      </c>
      <c r="D25" t="s">
        <v>74</v>
      </c>
      <c r="E25">
        <v>2</v>
      </c>
      <c r="F25">
        <v>39386</v>
      </c>
      <c r="G25">
        <f t="shared" si="0"/>
        <v>78772</v>
      </c>
      <c r="H25">
        <f t="shared" si="1"/>
        <v>3938.6000000000004</v>
      </c>
      <c r="I25">
        <f t="shared" si="2"/>
        <v>74833.399999999994</v>
      </c>
    </row>
    <row r="26" spans="1:9" x14ac:dyDescent="0.3">
      <c r="A26" t="s">
        <v>48</v>
      </c>
      <c r="B26" s="2">
        <v>45934</v>
      </c>
      <c r="C26" t="s">
        <v>19</v>
      </c>
      <c r="D26" t="s">
        <v>26</v>
      </c>
      <c r="E26">
        <v>2</v>
      </c>
      <c r="F26">
        <v>39966</v>
      </c>
      <c r="G26">
        <f t="shared" si="0"/>
        <v>79932</v>
      </c>
      <c r="H26">
        <f t="shared" si="1"/>
        <v>3996.6000000000004</v>
      </c>
      <c r="I26">
        <f t="shared" si="2"/>
        <v>75935.399999999994</v>
      </c>
    </row>
    <row r="27" spans="1:9" x14ac:dyDescent="0.3">
      <c r="A27" t="s">
        <v>49</v>
      </c>
      <c r="B27" s="2">
        <v>45689</v>
      </c>
      <c r="C27" t="s">
        <v>14</v>
      </c>
      <c r="D27" t="s">
        <v>12</v>
      </c>
      <c r="E27">
        <v>4</v>
      </c>
      <c r="F27">
        <v>20393</v>
      </c>
      <c r="G27">
        <f t="shared" si="0"/>
        <v>81572</v>
      </c>
      <c r="H27">
        <f t="shared" si="1"/>
        <v>4078.6000000000004</v>
      </c>
      <c r="I27">
        <f t="shared" si="2"/>
        <v>77493.399999999994</v>
      </c>
    </row>
    <row r="28" spans="1:9" x14ac:dyDescent="0.3">
      <c r="A28" t="s">
        <v>50</v>
      </c>
      <c r="B28" s="2">
        <v>45688</v>
      </c>
      <c r="C28" t="s">
        <v>8</v>
      </c>
      <c r="D28" t="s">
        <v>12</v>
      </c>
      <c r="E28">
        <v>10</v>
      </c>
      <c r="F28">
        <v>8242</v>
      </c>
      <c r="G28">
        <f t="shared" si="0"/>
        <v>82420</v>
      </c>
      <c r="H28">
        <f t="shared" si="1"/>
        <v>4121</v>
      </c>
      <c r="I28">
        <f t="shared" si="2"/>
        <v>78299</v>
      </c>
    </row>
    <row r="29" spans="1:9" x14ac:dyDescent="0.3">
      <c r="A29" t="s">
        <v>51</v>
      </c>
      <c r="B29" s="2">
        <v>45699</v>
      </c>
      <c r="C29" t="s">
        <v>19</v>
      </c>
      <c r="D29" t="s">
        <v>15</v>
      </c>
      <c r="E29">
        <v>2</v>
      </c>
      <c r="F29">
        <v>41545</v>
      </c>
      <c r="G29">
        <f t="shared" si="0"/>
        <v>83090</v>
      </c>
      <c r="H29">
        <f t="shared" si="1"/>
        <v>4154.5</v>
      </c>
      <c r="I29">
        <f t="shared" si="2"/>
        <v>78935.5</v>
      </c>
    </row>
    <row r="30" spans="1:9" x14ac:dyDescent="0.3">
      <c r="A30" t="s">
        <v>52</v>
      </c>
      <c r="B30" s="2">
        <v>45757</v>
      </c>
      <c r="C30" t="s">
        <v>38</v>
      </c>
      <c r="D30" t="s">
        <v>12</v>
      </c>
      <c r="E30">
        <v>4</v>
      </c>
      <c r="F30">
        <v>20869</v>
      </c>
      <c r="G30">
        <f t="shared" si="0"/>
        <v>83476</v>
      </c>
      <c r="H30">
        <f t="shared" si="1"/>
        <v>4173.8</v>
      </c>
      <c r="I30">
        <f t="shared" si="2"/>
        <v>79302.2</v>
      </c>
    </row>
    <row r="31" spans="1:9" x14ac:dyDescent="0.3">
      <c r="A31" t="s">
        <v>53</v>
      </c>
      <c r="B31" s="2">
        <v>45860</v>
      </c>
      <c r="C31" t="s">
        <v>24</v>
      </c>
      <c r="D31" t="s">
        <v>9</v>
      </c>
      <c r="E31">
        <v>10</v>
      </c>
      <c r="F31">
        <v>9575</v>
      </c>
      <c r="G31">
        <f t="shared" si="0"/>
        <v>95750</v>
      </c>
      <c r="H31">
        <f t="shared" si="1"/>
        <v>4787.5</v>
      </c>
      <c r="I31">
        <f t="shared" si="2"/>
        <v>90962.5</v>
      </c>
    </row>
    <row r="32" spans="1:9" x14ac:dyDescent="0.3">
      <c r="A32" t="s">
        <v>54</v>
      </c>
      <c r="B32" s="2">
        <v>45665</v>
      </c>
      <c r="C32" t="s">
        <v>24</v>
      </c>
      <c r="D32" t="s">
        <v>15</v>
      </c>
      <c r="E32">
        <v>3</v>
      </c>
      <c r="F32">
        <v>34052</v>
      </c>
      <c r="G32">
        <f t="shared" si="0"/>
        <v>102156</v>
      </c>
      <c r="H32">
        <f t="shared" si="1"/>
        <v>5107.8</v>
      </c>
      <c r="I32">
        <f t="shared" si="2"/>
        <v>97048.2</v>
      </c>
    </row>
    <row r="33" spans="1:9" x14ac:dyDescent="0.3">
      <c r="A33" t="s">
        <v>55</v>
      </c>
      <c r="B33" s="2">
        <v>45768</v>
      </c>
      <c r="C33" t="s">
        <v>24</v>
      </c>
      <c r="D33" t="s">
        <v>15</v>
      </c>
      <c r="E33">
        <v>5</v>
      </c>
      <c r="F33">
        <v>20679</v>
      </c>
      <c r="G33">
        <f t="shared" si="0"/>
        <v>103395</v>
      </c>
      <c r="H33">
        <f t="shared" si="1"/>
        <v>5169.75</v>
      </c>
      <c r="I33">
        <f t="shared" si="2"/>
        <v>98225.25</v>
      </c>
    </row>
    <row r="34" spans="1:9" x14ac:dyDescent="0.3">
      <c r="A34" t="s">
        <v>56</v>
      </c>
      <c r="B34" s="2">
        <v>45800</v>
      </c>
      <c r="C34" t="s">
        <v>32</v>
      </c>
      <c r="D34" t="s">
        <v>26</v>
      </c>
      <c r="E34">
        <v>8</v>
      </c>
      <c r="F34">
        <v>13385</v>
      </c>
      <c r="G34">
        <f t="shared" si="0"/>
        <v>107080</v>
      </c>
      <c r="H34">
        <f t="shared" si="1"/>
        <v>5354</v>
      </c>
      <c r="I34">
        <f t="shared" si="2"/>
        <v>101726</v>
      </c>
    </row>
    <row r="35" spans="1:9" x14ac:dyDescent="0.3">
      <c r="A35" t="s">
        <v>57</v>
      </c>
      <c r="B35" s="2">
        <v>45686</v>
      </c>
      <c r="C35" t="s">
        <v>17</v>
      </c>
      <c r="D35" t="s">
        <v>36</v>
      </c>
      <c r="E35">
        <v>4</v>
      </c>
      <c r="F35">
        <v>28810</v>
      </c>
      <c r="G35">
        <f t="shared" si="0"/>
        <v>115240</v>
      </c>
      <c r="H35">
        <f t="shared" si="1"/>
        <v>5762</v>
      </c>
      <c r="I35">
        <f t="shared" si="2"/>
        <v>109478</v>
      </c>
    </row>
    <row r="36" spans="1:9" x14ac:dyDescent="0.3">
      <c r="A36" t="s">
        <v>58</v>
      </c>
      <c r="B36" s="2">
        <v>45747</v>
      </c>
      <c r="C36" t="s">
        <v>40</v>
      </c>
      <c r="D36" t="s">
        <v>74</v>
      </c>
      <c r="E36">
        <v>4</v>
      </c>
      <c r="F36">
        <v>29120</v>
      </c>
      <c r="G36">
        <f t="shared" si="0"/>
        <v>116480</v>
      </c>
      <c r="H36">
        <f t="shared" si="1"/>
        <v>5824</v>
      </c>
      <c r="I36">
        <f t="shared" si="2"/>
        <v>110656</v>
      </c>
    </row>
    <row r="37" spans="1:9" x14ac:dyDescent="0.3">
      <c r="A37" t="s">
        <v>59</v>
      </c>
      <c r="B37" s="2">
        <v>45676</v>
      </c>
      <c r="C37" t="s">
        <v>14</v>
      </c>
      <c r="D37" t="s">
        <v>9</v>
      </c>
      <c r="E37">
        <v>5</v>
      </c>
      <c r="F37">
        <v>24148</v>
      </c>
      <c r="G37">
        <f t="shared" si="0"/>
        <v>120740</v>
      </c>
      <c r="H37">
        <f t="shared" si="1"/>
        <v>6037</v>
      </c>
      <c r="I37">
        <f t="shared" si="2"/>
        <v>114703</v>
      </c>
    </row>
    <row r="38" spans="1:9" x14ac:dyDescent="0.3">
      <c r="A38" t="s">
        <v>60</v>
      </c>
      <c r="B38" s="2">
        <v>45838</v>
      </c>
      <c r="C38" t="s">
        <v>14</v>
      </c>
      <c r="D38" t="s">
        <v>21</v>
      </c>
      <c r="E38">
        <v>6</v>
      </c>
      <c r="F38">
        <v>20576</v>
      </c>
      <c r="G38">
        <f t="shared" si="0"/>
        <v>123456</v>
      </c>
      <c r="H38">
        <f t="shared" si="1"/>
        <v>6172.8</v>
      </c>
      <c r="I38">
        <f t="shared" si="2"/>
        <v>117283.2</v>
      </c>
    </row>
    <row r="39" spans="1:9" x14ac:dyDescent="0.3">
      <c r="A39" t="s">
        <v>61</v>
      </c>
      <c r="B39" s="2">
        <v>45797</v>
      </c>
      <c r="C39" t="s">
        <v>17</v>
      </c>
      <c r="D39" t="s">
        <v>15</v>
      </c>
      <c r="E39">
        <v>6</v>
      </c>
      <c r="F39">
        <v>22895</v>
      </c>
      <c r="G39">
        <f t="shared" si="0"/>
        <v>137370</v>
      </c>
      <c r="H39">
        <f t="shared" si="1"/>
        <v>6868.5</v>
      </c>
      <c r="I39">
        <f t="shared" si="2"/>
        <v>130501.5</v>
      </c>
    </row>
    <row r="40" spans="1:9" x14ac:dyDescent="0.3">
      <c r="A40" t="s">
        <v>62</v>
      </c>
      <c r="B40" s="2">
        <v>45939</v>
      </c>
      <c r="C40" t="s">
        <v>17</v>
      </c>
      <c r="D40" t="s">
        <v>15</v>
      </c>
      <c r="E40">
        <v>3</v>
      </c>
      <c r="F40">
        <v>48084</v>
      </c>
      <c r="G40">
        <f t="shared" si="0"/>
        <v>144252</v>
      </c>
      <c r="H40">
        <f t="shared" si="1"/>
        <v>7212.6</v>
      </c>
      <c r="I40">
        <f t="shared" si="2"/>
        <v>137039.4</v>
      </c>
    </row>
    <row r="41" spans="1:9" x14ac:dyDescent="0.3">
      <c r="A41" t="s">
        <v>63</v>
      </c>
      <c r="B41" s="2">
        <v>45840</v>
      </c>
      <c r="C41" t="s">
        <v>8</v>
      </c>
      <c r="D41" t="s">
        <v>33</v>
      </c>
      <c r="E41">
        <v>5</v>
      </c>
      <c r="F41">
        <v>33106</v>
      </c>
      <c r="G41">
        <f t="shared" si="0"/>
        <v>165530</v>
      </c>
      <c r="H41">
        <f t="shared" si="1"/>
        <v>8276.5</v>
      </c>
      <c r="I41">
        <f t="shared" si="2"/>
        <v>157253.5</v>
      </c>
    </row>
    <row r="42" spans="1:9" x14ac:dyDescent="0.3">
      <c r="A42" t="s">
        <v>64</v>
      </c>
      <c r="B42" s="2">
        <v>45772</v>
      </c>
      <c r="C42" t="s">
        <v>8</v>
      </c>
      <c r="D42" t="s">
        <v>33</v>
      </c>
      <c r="E42">
        <v>6</v>
      </c>
      <c r="F42">
        <v>31522</v>
      </c>
      <c r="G42">
        <f t="shared" si="0"/>
        <v>189132</v>
      </c>
      <c r="H42">
        <f t="shared" si="1"/>
        <v>9456.6</v>
      </c>
      <c r="I42">
        <f t="shared" si="2"/>
        <v>179675.4</v>
      </c>
    </row>
    <row r="43" spans="1:9" x14ac:dyDescent="0.3">
      <c r="A43" t="s">
        <v>65</v>
      </c>
      <c r="B43" s="2">
        <v>45735</v>
      </c>
      <c r="C43" t="s">
        <v>24</v>
      </c>
      <c r="D43" t="s">
        <v>12</v>
      </c>
      <c r="E43">
        <v>7</v>
      </c>
      <c r="F43">
        <v>27356</v>
      </c>
      <c r="G43">
        <f t="shared" si="0"/>
        <v>191492</v>
      </c>
      <c r="H43">
        <f t="shared" si="1"/>
        <v>9574.6</v>
      </c>
      <c r="I43">
        <f t="shared" si="2"/>
        <v>181917.4</v>
      </c>
    </row>
    <row r="44" spans="1:9" x14ac:dyDescent="0.3">
      <c r="A44" t="s">
        <v>66</v>
      </c>
      <c r="B44" s="2">
        <v>45722</v>
      </c>
      <c r="C44" t="s">
        <v>14</v>
      </c>
      <c r="D44" t="s">
        <v>21</v>
      </c>
      <c r="E44">
        <v>5</v>
      </c>
      <c r="F44">
        <v>40590</v>
      </c>
      <c r="G44">
        <f t="shared" si="0"/>
        <v>202950</v>
      </c>
      <c r="H44">
        <f t="shared" si="1"/>
        <v>10147.5</v>
      </c>
      <c r="I44">
        <f t="shared" si="2"/>
        <v>192802.5</v>
      </c>
    </row>
    <row r="45" spans="1:9" x14ac:dyDescent="0.3">
      <c r="A45" t="s">
        <v>67</v>
      </c>
      <c r="B45" s="2">
        <v>45918</v>
      </c>
      <c r="C45" t="s">
        <v>19</v>
      </c>
      <c r="D45" t="s">
        <v>29</v>
      </c>
      <c r="E45">
        <v>7</v>
      </c>
      <c r="F45">
        <v>31140</v>
      </c>
      <c r="G45">
        <f t="shared" si="0"/>
        <v>217980</v>
      </c>
      <c r="H45">
        <f t="shared" si="1"/>
        <v>10899</v>
      </c>
      <c r="I45">
        <f t="shared" si="2"/>
        <v>207081</v>
      </c>
    </row>
    <row r="46" spans="1:9" x14ac:dyDescent="0.3">
      <c r="A46" t="s">
        <v>68</v>
      </c>
      <c r="B46" s="2">
        <v>45832</v>
      </c>
      <c r="C46" t="s">
        <v>17</v>
      </c>
      <c r="D46" t="s">
        <v>26</v>
      </c>
      <c r="E46">
        <v>5</v>
      </c>
      <c r="F46">
        <v>43671</v>
      </c>
      <c r="G46">
        <f t="shared" si="0"/>
        <v>218355</v>
      </c>
      <c r="H46">
        <f t="shared" si="1"/>
        <v>10917.75</v>
      </c>
      <c r="I46">
        <f t="shared" si="2"/>
        <v>207437.25</v>
      </c>
    </row>
    <row r="47" spans="1:9" x14ac:dyDescent="0.3">
      <c r="A47" t="s">
        <v>69</v>
      </c>
      <c r="B47" s="2">
        <v>45727</v>
      </c>
      <c r="C47" t="s">
        <v>8</v>
      </c>
      <c r="D47" t="s">
        <v>21</v>
      </c>
      <c r="E47">
        <v>7</v>
      </c>
      <c r="F47">
        <v>32236</v>
      </c>
      <c r="G47">
        <f t="shared" si="0"/>
        <v>225652</v>
      </c>
      <c r="H47">
        <f t="shared" si="1"/>
        <v>11282.6</v>
      </c>
      <c r="I47">
        <f t="shared" si="2"/>
        <v>214369.4</v>
      </c>
    </row>
    <row r="48" spans="1:9" x14ac:dyDescent="0.3">
      <c r="A48" t="s">
        <v>70</v>
      </c>
      <c r="B48" s="2">
        <v>45901</v>
      </c>
      <c r="C48" t="s">
        <v>32</v>
      </c>
      <c r="D48" t="s">
        <v>29</v>
      </c>
      <c r="E48">
        <v>8</v>
      </c>
      <c r="F48">
        <v>34169</v>
      </c>
      <c r="G48">
        <f t="shared" si="0"/>
        <v>273352</v>
      </c>
      <c r="H48">
        <f t="shared" si="1"/>
        <v>13667.6</v>
      </c>
      <c r="I48">
        <f t="shared" si="2"/>
        <v>259684.4</v>
      </c>
    </row>
    <row r="49" spans="1:9" x14ac:dyDescent="0.3">
      <c r="A49" t="s">
        <v>71</v>
      </c>
      <c r="B49" s="2">
        <v>45671</v>
      </c>
      <c r="C49" t="s">
        <v>19</v>
      </c>
      <c r="D49" t="s">
        <v>29</v>
      </c>
      <c r="E49">
        <v>10</v>
      </c>
      <c r="F49">
        <v>32061</v>
      </c>
      <c r="G49">
        <f t="shared" si="0"/>
        <v>320610</v>
      </c>
      <c r="H49">
        <f t="shared" si="1"/>
        <v>16030.5</v>
      </c>
      <c r="I49">
        <f t="shared" si="2"/>
        <v>304579.5</v>
      </c>
    </row>
    <row r="50" spans="1:9" x14ac:dyDescent="0.3">
      <c r="A50" t="s">
        <v>72</v>
      </c>
      <c r="B50" s="2">
        <v>45754</v>
      </c>
      <c r="C50" t="s">
        <v>24</v>
      </c>
      <c r="D50" t="s">
        <v>9</v>
      </c>
      <c r="E50">
        <v>9</v>
      </c>
      <c r="F50">
        <v>44080</v>
      </c>
      <c r="G50">
        <f t="shared" si="0"/>
        <v>396720</v>
      </c>
      <c r="H50">
        <f t="shared" si="1"/>
        <v>19836</v>
      </c>
      <c r="I50">
        <f t="shared" si="2"/>
        <v>376884</v>
      </c>
    </row>
    <row r="51" spans="1:9" x14ac:dyDescent="0.3">
      <c r="A51" t="s">
        <v>73</v>
      </c>
      <c r="B51" s="2">
        <v>45884</v>
      </c>
      <c r="C51" t="s">
        <v>8</v>
      </c>
      <c r="D51" t="s">
        <v>15</v>
      </c>
      <c r="E51">
        <v>10</v>
      </c>
      <c r="F51">
        <v>48992</v>
      </c>
      <c r="G51">
        <f t="shared" si="0"/>
        <v>489920</v>
      </c>
      <c r="H51">
        <f t="shared" si="1"/>
        <v>24496</v>
      </c>
      <c r="I51">
        <f t="shared" si="2"/>
        <v>465424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2023</vt:lpstr>
      <vt:lpstr>2024</vt:lpstr>
      <vt:lpstr>2025</vt:lpstr>
      <vt:lpstr>'2023'!Print_Titles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cp:lastPrinted>2026-03-04T16:24:24Z</cp:lastPrinted>
  <dcterms:created xsi:type="dcterms:W3CDTF">2025-10-22T11:40:13Z</dcterms:created>
  <dcterms:modified xsi:type="dcterms:W3CDTF">2026-03-04T16:25:08Z</dcterms:modified>
</cp:coreProperties>
</file>