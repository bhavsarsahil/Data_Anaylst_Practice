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Formulas &amp; function\Formulas &amp; function\"/>
    </mc:Choice>
  </mc:AlternateContent>
  <xr:revisionPtr revIDLastSave="0" documentId="13_ncr:1_{91647BC4-A4CF-43AB-8132-715BD5D6BBA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oject Deadlines" sheetId="3" r:id="rId1"/>
    <sheet name="Employee Data" sheetId="1" r:id="rId2"/>
    <sheet name="Leave Record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3" i="3"/>
  <c r="C11" i="3"/>
  <c r="C7" i="2"/>
  <c r="G3" i="1"/>
  <c r="G4" i="1"/>
  <c r="G5" i="1"/>
  <c r="G6" i="1"/>
  <c r="G2" i="1"/>
  <c r="E3" i="1"/>
  <c r="E2" i="1"/>
  <c r="E4" i="1"/>
  <c r="E5" i="1"/>
  <c r="E6" i="1"/>
  <c r="H3" i="3"/>
  <c r="H4" i="3"/>
  <c r="H5" i="3"/>
  <c r="H6" i="3"/>
  <c r="H2" i="3"/>
  <c r="F3" i="3"/>
  <c r="F4" i="3"/>
  <c r="F5" i="3"/>
  <c r="F6" i="3"/>
  <c r="F2" i="3"/>
  <c r="D3" i="3"/>
  <c r="D4" i="3"/>
  <c r="D5" i="3"/>
  <c r="D6" i="3"/>
  <c r="D2" i="3"/>
  <c r="C3" i="3"/>
  <c r="C4" i="3"/>
  <c r="C5" i="3"/>
  <c r="C6" i="3"/>
  <c r="C2" i="3"/>
  <c r="E9" i="3"/>
  <c r="E10" i="1"/>
</calcChain>
</file>

<file path=xl/sharedStrings.xml><?xml version="1.0" encoding="utf-8"?>
<sst xmlns="http://schemas.openxmlformats.org/spreadsheetml/2006/main" count="37" uniqueCount="37">
  <si>
    <t>Employee ID</t>
  </si>
  <si>
    <t>Employee Name</t>
  </si>
  <si>
    <t>Date of Joining</t>
  </si>
  <si>
    <t>Date of Birth</t>
  </si>
  <si>
    <t>John Doe</t>
  </si>
  <si>
    <t>Jane Smith</t>
  </si>
  <si>
    <t>Robert Brown</t>
  </si>
  <si>
    <t>Emily Davis</t>
  </si>
  <si>
    <t>Michael Johnson</t>
  </si>
  <si>
    <t>2020-01-15</t>
  </si>
  <si>
    <t>2019-06-01</t>
  </si>
  <si>
    <t>2021-09-20</t>
  </si>
  <si>
    <t>2020-11-05</t>
  </si>
  <si>
    <t>2018-03-22</t>
  </si>
  <si>
    <t>1990-07-12</t>
  </si>
  <si>
    <t>1985-11-23</t>
  </si>
  <si>
    <t>1992-05-14</t>
  </si>
  <si>
    <t>1995-09-30</t>
  </si>
  <si>
    <t>1988-02-18</t>
  </si>
  <si>
    <t>Project ID</t>
  </si>
  <si>
    <t>Start Date</t>
  </si>
  <si>
    <t>End Date</t>
  </si>
  <si>
    <t>Days Remaining</t>
  </si>
  <si>
    <t>P101</t>
  </si>
  <si>
    <t>P102</t>
  </si>
  <si>
    <t>P103</t>
  </si>
  <si>
    <t>P104</t>
  </si>
  <si>
    <t>P105</t>
  </si>
  <si>
    <t>2024-03-31</t>
  </si>
  <si>
    <t>2024-05-30</t>
  </si>
  <si>
    <t>2024-06-15</t>
  </si>
  <si>
    <t>2024-07-25</t>
  </si>
  <si>
    <t>2024-08-10</t>
  </si>
  <si>
    <t>Work Days</t>
  </si>
  <si>
    <t>Holidays</t>
  </si>
  <si>
    <t>Age</t>
  </si>
  <si>
    <t>Eomonth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</si>
</sst>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XLBooster.xlam" TargetMode="External"/><Relationship Id="rId1" Type="http://schemas.openxmlformats.org/officeDocument/2006/relationships/externalLinkPath" Target="file:///C:\Users\USER\AppData\Roaming\Microsoft\AddIns\XLBooste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CLIPBOARD_TEMP__"/>
      <sheetName val="__ExportLog"/>
      <sheetName val="SJ_TickFormats"/>
      <sheetName val="Sheet1"/>
    </sheetNames>
    <definedNames>
      <definedName name="XL_AgeFromDOB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tabSelected="1" zoomScale="235" zoomScaleNormal="235" workbookViewId="0">
      <selection activeCell="F13" sqref="F13"/>
    </sheetView>
  </sheetViews>
  <sheetFormatPr defaultRowHeight="14.4" x14ac:dyDescent="0.3"/>
  <cols>
    <col min="1" max="1" width="9.21875" bestFit="1" customWidth="1"/>
    <col min="2" max="4" width="11.33203125" customWidth="1"/>
    <col min="5" max="5" width="13.33203125" customWidth="1"/>
    <col min="6" max="7" width="14.44140625" customWidth="1"/>
    <col min="8" max="8" width="17.21875" bestFit="1" customWidth="1"/>
    <col min="9" max="9" width="10.5546875" bestFit="1" customWidth="1"/>
  </cols>
  <sheetData>
    <row r="1" spans="1:9" x14ac:dyDescent="0.3">
      <c r="A1" s="1" t="s">
        <v>19</v>
      </c>
      <c r="B1" s="1" t="s">
        <v>20</v>
      </c>
      <c r="C1" s="1"/>
      <c r="D1" s="1"/>
      <c r="E1" s="1" t="s">
        <v>21</v>
      </c>
      <c r="F1" s="1" t="s">
        <v>22</v>
      </c>
      <c r="G1" s="5"/>
      <c r="H1" s="4" t="s">
        <v>36</v>
      </c>
    </row>
    <row r="2" spans="1:9" x14ac:dyDescent="0.3">
      <c r="A2" t="s">
        <v>23</v>
      </c>
      <c r="B2" s="2">
        <v>45292</v>
      </c>
      <c r="C2">
        <f>YEAR(B2)</f>
        <v>2024</v>
      </c>
      <c r="D2" s="2">
        <f>DATE(YEAR(B2),MONTH(B2),DAY(B2))</f>
        <v>45292</v>
      </c>
      <c r="E2" t="s">
        <v>28</v>
      </c>
      <c r="F2">
        <f>E2-B2</f>
        <v>90</v>
      </c>
      <c r="H2" s="2">
        <f>EOMONTH(E2,6)</f>
        <v>45565</v>
      </c>
    </row>
    <row r="3" spans="1:9" x14ac:dyDescent="0.3">
      <c r="A3" t="s">
        <v>24</v>
      </c>
      <c r="B3" s="2">
        <v>44972</v>
      </c>
      <c r="C3">
        <f t="shared" ref="C3:C6" si="0">YEAR(B3)</f>
        <v>2023</v>
      </c>
      <c r="D3" s="2">
        <f>DATE(YEAR(B3),MONTH(B3),DAY(B3))</f>
        <v>44972</v>
      </c>
      <c r="E3" t="s">
        <v>29</v>
      </c>
      <c r="F3">
        <f t="shared" ref="F3:F6" si="1">E3-B3</f>
        <v>470</v>
      </c>
      <c r="H3" s="2">
        <f t="shared" ref="H3:H6" si="2">EOMONTH(E3,6)</f>
        <v>45626</v>
      </c>
    </row>
    <row r="4" spans="1:9" x14ac:dyDescent="0.3">
      <c r="A4" t="s">
        <v>25</v>
      </c>
      <c r="B4" s="2">
        <v>45352</v>
      </c>
      <c r="C4">
        <f t="shared" si="0"/>
        <v>2024</v>
      </c>
      <c r="D4" s="2">
        <f t="shared" ref="D4:D6" si="3">DATE(YEAR(B4),MONTH(B4),DAY(B4))</f>
        <v>45352</v>
      </c>
      <c r="E4" t="s">
        <v>30</v>
      </c>
      <c r="F4">
        <f t="shared" si="1"/>
        <v>106</v>
      </c>
      <c r="H4" s="2">
        <f t="shared" si="2"/>
        <v>45657</v>
      </c>
    </row>
    <row r="5" spans="1:9" x14ac:dyDescent="0.3">
      <c r="A5" t="s">
        <v>26</v>
      </c>
      <c r="B5" s="2">
        <v>39913</v>
      </c>
      <c r="C5">
        <f t="shared" si="0"/>
        <v>2009</v>
      </c>
      <c r="D5" s="2">
        <f t="shared" si="3"/>
        <v>39913</v>
      </c>
      <c r="E5" t="s">
        <v>31</v>
      </c>
      <c r="F5">
        <f t="shared" si="1"/>
        <v>5585</v>
      </c>
      <c r="H5" s="2">
        <f t="shared" si="2"/>
        <v>45688</v>
      </c>
    </row>
    <row r="6" spans="1:9" x14ac:dyDescent="0.3">
      <c r="A6" t="s">
        <v>27</v>
      </c>
      <c r="B6" s="2">
        <v>45417</v>
      </c>
      <c r="C6">
        <f t="shared" si="0"/>
        <v>2024</v>
      </c>
      <c r="D6" s="2">
        <f t="shared" si="3"/>
        <v>45417</v>
      </c>
      <c r="E6" t="s">
        <v>32</v>
      </c>
      <c r="F6">
        <f t="shared" si="1"/>
        <v>97</v>
      </c>
      <c r="H6" s="2">
        <f t="shared" si="2"/>
        <v>45716</v>
      </c>
      <c r="I6" s="2"/>
    </row>
    <row r="9" spans="1:9" x14ac:dyDescent="0.3">
      <c r="B9" s="2"/>
      <c r="D9" s="2"/>
      <c r="E9" s="2">
        <f ca="1">TODAY()</f>
        <v>46088</v>
      </c>
    </row>
    <row r="10" spans="1:9" x14ac:dyDescent="0.3">
      <c r="B10" s="2"/>
      <c r="D10" s="2"/>
      <c r="E10" s="2"/>
    </row>
    <row r="11" spans="1:9" x14ac:dyDescent="0.3">
      <c r="B11" s="2"/>
      <c r="C11" t="str">
        <f>TEXT(B2,"mmmm")</f>
        <v>January</v>
      </c>
      <c r="D11" s="2"/>
    </row>
    <row r="12" spans="1:9" x14ac:dyDescent="0.3">
      <c r="B12" s="2"/>
      <c r="C12" t="str">
        <f t="shared" ref="C12:C13" si="4">TEXT(B3,"mmmm")</f>
        <v>February</v>
      </c>
      <c r="D12" s="2"/>
    </row>
    <row r="13" spans="1:9" x14ac:dyDescent="0.3">
      <c r="B13" s="2"/>
      <c r="C13" t="str">
        <f t="shared" si="4"/>
        <v>March</v>
      </c>
      <c r="D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235" zoomScaleNormal="235" workbookViewId="0">
      <selection activeCell="D13" sqref="D13"/>
    </sheetView>
  </sheetViews>
  <sheetFormatPr defaultRowHeight="14.4" x14ac:dyDescent="0.3"/>
  <cols>
    <col min="1" max="1" width="11.5546875" bestFit="1" customWidth="1"/>
    <col min="2" max="2" width="14.88671875" bestFit="1" customWidth="1"/>
    <col min="3" max="3" width="17.44140625" customWidth="1"/>
    <col min="4" max="4" width="14.44140625" customWidth="1"/>
    <col min="5" max="5" width="23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35</v>
      </c>
    </row>
    <row r="2" spans="1:7" x14ac:dyDescent="0.3">
      <c r="A2">
        <v>101</v>
      </c>
      <c r="B2" t="s">
        <v>4</v>
      </c>
      <c r="C2" t="s">
        <v>9</v>
      </c>
      <c r="D2" s="2" t="s">
        <v>14</v>
      </c>
      <c r="E2" t="str">
        <f ca="1">DATEDIF(D2,TODAY(),"y") &amp; " Years " &amp; DATEDIF(D2,TODAY(),"ym") &amp; " Month " &amp; DATEDIF(D2,TODAY(),"md") &amp; " Days "</f>
        <v xml:space="preserve">35 Years 7 Month 23 Days </v>
      </c>
      <c r="G2">
        <f>WEEKNUM(C2,2)</f>
        <v>3</v>
      </c>
    </row>
    <row r="3" spans="1:7" x14ac:dyDescent="0.3">
      <c r="A3">
        <v>102</v>
      </c>
      <c r="B3" t="s">
        <v>5</v>
      </c>
      <c r="C3" t="s">
        <v>10</v>
      </c>
      <c r="D3" s="2" t="s">
        <v>15</v>
      </c>
      <c r="E3" t="str">
        <f ca="1">DATEDIF(D3,TODAY(),"y") &amp; " Years " &amp; DATEDIF(D3,TODAY(),"ym") &amp; " Month " &amp; DATEDIF(D3,TODAY(),"md") &amp; " Days "</f>
        <v xml:space="preserve">40 Years 3 Month 12 Days </v>
      </c>
      <c r="G3">
        <f t="shared" ref="G3:G6" si="0">WEEKNUM(C3,2)</f>
        <v>22</v>
      </c>
    </row>
    <row r="4" spans="1:7" x14ac:dyDescent="0.3">
      <c r="A4">
        <v>103</v>
      </c>
      <c r="B4" t="s">
        <v>6</v>
      </c>
      <c r="C4" t="s">
        <v>11</v>
      </c>
      <c r="D4" s="2" t="s">
        <v>16</v>
      </c>
      <c r="E4" t="str">
        <f t="shared" ref="E4:E6" ca="1" si="1">DATEDIF(D4,TODAY(),"y") &amp; " Years " &amp; DATEDIF(D4,TODAY(),"ym") &amp; " Month " &amp; DATEDIF(D4,TODAY(),"md") &amp; " Days "</f>
        <v xml:space="preserve">33 Years 9 Month 21 Days </v>
      </c>
      <c r="G4">
        <f t="shared" si="0"/>
        <v>39</v>
      </c>
    </row>
    <row r="5" spans="1:7" x14ac:dyDescent="0.3">
      <c r="A5">
        <v>104</v>
      </c>
      <c r="B5" t="s">
        <v>7</v>
      </c>
      <c r="C5" t="s">
        <v>12</v>
      </c>
      <c r="D5" s="2" t="s">
        <v>17</v>
      </c>
      <c r="E5" t="str">
        <f t="shared" ca="1" si="1"/>
        <v xml:space="preserve">30 Years 5 Month 5 Days </v>
      </c>
      <c r="G5">
        <f t="shared" si="0"/>
        <v>45</v>
      </c>
    </row>
    <row r="6" spans="1:7" x14ac:dyDescent="0.3">
      <c r="A6">
        <v>105</v>
      </c>
      <c r="B6" t="s">
        <v>8</v>
      </c>
      <c r="C6" t="s">
        <v>13</v>
      </c>
      <c r="D6" s="2" t="s">
        <v>18</v>
      </c>
      <c r="E6" t="str">
        <f t="shared" ca="1" si="1"/>
        <v xml:space="preserve">38 Years 0 Month 17 Days </v>
      </c>
      <c r="G6">
        <f t="shared" si="0"/>
        <v>12</v>
      </c>
    </row>
    <row r="10" spans="1:7" x14ac:dyDescent="0.3">
      <c r="D10" s="2"/>
      <c r="E10" t="str">
        <f>[1]!XL_AgeFromDOB(D5)</f>
        <v>30 Years 5 Months 5 Days</v>
      </c>
    </row>
    <row r="11" spans="1:7" x14ac:dyDescent="0.3">
      <c r="C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="205" zoomScaleNormal="205" workbookViewId="0">
      <selection activeCell="G12" sqref="G12"/>
    </sheetView>
  </sheetViews>
  <sheetFormatPr defaultRowHeight="14.4" x14ac:dyDescent="0.3"/>
  <cols>
    <col min="1" max="1" width="17.21875" customWidth="1"/>
    <col min="2" max="2" width="19.44140625" bestFit="1" customWidth="1"/>
    <col min="5" max="5" width="12.109375" customWidth="1"/>
  </cols>
  <sheetData>
    <row r="1" spans="1:5" x14ac:dyDescent="0.3">
      <c r="A1" s="1"/>
      <c r="B1" s="1" t="s">
        <v>33</v>
      </c>
      <c r="E1" t="s">
        <v>34</v>
      </c>
    </row>
    <row r="2" spans="1:5" x14ac:dyDescent="0.3">
      <c r="A2" s="2">
        <v>46023</v>
      </c>
      <c r="E2" s="2">
        <v>46036</v>
      </c>
    </row>
    <row r="3" spans="1:5" x14ac:dyDescent="0.3">
      <c r="A3" s="2">
        <v>46024</v>
      </c>
      <c r="B3" s="4"/>
      <c r="E3" s="2">
        <v>46048</v>
      </c>
    </row>
    <row r="4" spans="1:5" x14ac:dyDescent="0.3">
      <c r="A4" s="2">
        <v>46025</v>
      </c>
    </row>
    <row r="5" spans="1:5" x14ac:dyDescent="0.3">
      <c r="A5" s="2">
        <v>46026</v>
      </c>
    </row>
    <row r="6" spans="1:5" x14ac:dyDescent="0.3">
      <c r="A6" s="2">
        <v>46027</v>
      </c>
    </row>
    <row r="7" spans="1:5" x14ac:dyDescent="0.3">
      <c r="A7" s="2">
        <v>46028</v>
      </c>
      <c r="C7">
        <f>NETWORKDAYS.INTL(A2,A32,11,E2:E3)</f>
        <v>25</v>
      </c>
    </row>
    <row r="8" spans="1:5" x14ac:dyDescent="0.3">
      <c r="A8" s="2">
        <v>46029</v>
      </c>
    </row>
    <row r="9" spans="1:5" x14ac:dyDescent="0.3">
      <c r="A9" s="2">
        <v>46030</v>
      </c>
    </row>
    <row r="10" spans="1:5" x14ac:dyDescent="0.3">
      <c r="A10" s="2">
        <v>46031</v>
      </c>
    </row>
    <row r="11" spans="1:5" x14ac:dyDescent="0.3">
      <c r="A11" s="2">
        <v>46032</v>
      </c>
    </row>
    <row r="12" spans="1:5" x14ac:dyDescent="0.3">
      <c r="A12" s="2">
        <v>46033</v>
      </c>
    </row>
    <row r="13" spans="1:5" x14ac:dyDescent="0.3">
      <c r="A13" s="2">
        <v>46034</v>
      </c>
    </row>
    <row r="14" spans="1:5" x14ac:dyDescent="0.3">
      <c r="A14" s="2">
        <v>46035</v>
      </c>
    </row>
    <row r="15" spans="1:5" x14ac:dyDescent="0.3">
      <c r="A15" s="2">
        <v>46036</v>
      </c>
    </row>
    <row r="16" spans="1:5" x14ac:dyDescent="0.3">
      <c r="A16" s="2">
        <v>46037</v>
      </c>
    </row>
    <row r="17" spans="1:1" x14ac:dyDescent="0.3">
      <c r="A17" s="2">
        <v>46038</v>
      </c>
    </row>
    <row r="18" spans="1:1" x14ac:dyDescent="0.3">
      <c r="A18" s="2">
        <v>46039</v>
      </c>
    </row>
    <row r="19" spans="1:1" x14ac:dyDescent="0.3">
      <c r="A19" s="2">
        <v>46040</v>
      </c>
    </row>
    <row r="20" spans="1:1" x14ac:dyDescent="0.3">
      <c r="A20" s="2">
        <v>46041</v>
      </c>
    </row>
    <row r="21" spans="1:1" x14ac:dyDescent="0.3">
      <c r="A21" s="2">
        <v>46042</v>
      </c>
    </row>
    <row r="22" spans="1:1" x14ac:dyDescent="0.3">
      <c r="A22" s="2">
        <v>46043</v>
      </c>
    </row>
    <row r="23" spans="1:1" x14ac:dyDescent="0.3">
      <c r="A23" s="2">
        <v>46044</v>
      </c>
    </row>
    <row r="24" spans="1:1" x14ac:dyDescent="0.3">
      <c r="A24" s="2">
        <v>46045</v>
      </c>
    </row>
    <row r="25" spans="1:1" x14ac:dyDescent="0.3">
      <c r="A25" s="2">
        <v>46046</v>
      </c>
    </row>
    <row r="26" spans="1:1" x14ac:dyDescent="0.3">
      <c r="A26" s="2">
        <v>46047</v>
      </c>
    </row>
    <row r="27" spans="1:1" x14ac:dyDescent="0.3">
      <c r="A27" s="2">
        <v>46048</v>
      </c>
    </row>
    <row r="28" spans="1:1" x14ac:dyDescent="0.3">
      <c r="A28" s="2">
        <v>46049</v>
      </c>
    </row>
    <row r="29" spans="1:1" x14ac:dyDescent="0.3">
      <c r="A29" s="2">
        <v>46050</v>
      </c>
    </row>
    <row r="30" spans="1:1" x14ac:dyDescent="0.3">
      <c r="A30" s="2">
        <v>46051</v>
      </c>
    </row>
    <row r="31" spans="1:1" x14ac:dyDescent="0.3">
      <c r="A31" s="2">
        <v>46052</v>
      </c>
    </row>
    <row r="32" spans="1:1" x14ac:dyDescent="0.3">
      <c r="A32" s="2">
        <v>46053</v>
      </c>
    </row>
    <row r="33" spans="1:1" x14ac:dyDescent="0.3">
      <c r="A33" s="2"/>
    </row>
    <row r="34" spans="1:1" x14ac:dyDescent="0.3">
      <c r="A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Deadlines</vt:lpstr>
      <vt:lpstr>Employee Data</vt:lpstr>
      <vt:lpstr>Leave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2024-12-20T11:30:14Z</dcterms:created>
  <dcterms:modified xsi:type="dcterms:W3CDTF">2026-03-07T08:46:36Z</dcterms:modified>
</cp:coreProperties>
</file>