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Formulas &amp; function\Formulas &amp; function\"/>
    </mc:Choice>
  </mc:AlternateContent>
  <xr:revisionPtr revIDLastSave="0" documentId="13_ncr:1_{EE2961DF-A477-4071-8CA9-1A7BD918698F}" xr6:coauthVersionLast="47" xr6:coauthVersionMax="47" xr10:uidLastSave="{00000000-0000-0000-0000-000000000000}"/>
  <bookViews>
    <workbookView xWindow="28680" yWindow="-120" windowWidth="29040" windowHeight="16440" xr2:uid="{5F2AA2BF-ADFA-46B4-A622-388F02D1ACAC}"/>
  </bookViews>
  <sheets>
    <sheet name="Sales_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N35" i="1"/>
  <c r="O35" i="1"/>
  <c r="P35" i="1"/>
  <c r="Q35" i="1"/>
  <c r="M35" i="1"/>
  <c r="M27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M28" i="1"/>
  <c r="M29" i="1"/>
  <c r="M30" i="1"/>
  <c r="M31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N18" i="1"/>
  <c r="O18" i="1"/>
  <c r="P18" i="1"/>
  <c r="Q18" i="1"/>
  <c r="M2" i="1"/>
  <c r="O2" i="1"/>
  <c r="O3" i="1"/>
  <c r="O4" i="1"/>
  <c r="O5" i="1"/>
  <c r="O6" i="1"/>
  <c r="N2" i="1"/>
  <c r="N3" i="1"/>
  <c r="N4" i="1"/>
  <c r="N5" i="1"/>
  <c r="N6" i="1"/>
  <c r="M3" i="1"/>
  <c r="M4" i="1"/>
  <c r="M5" i="1"/>
  <c r="M6" i="1"/>
  <c r="G5" i="2"/>
  <c r="G4" i="2"/>
  <c r="G3" i="2"/>
</calcChain>
</file>

<file path=xl/sharedStrings.xml><?xml version="1.0" encoding="utf-8"?>
<sst xmlns="http://schemas.openxmlformats.org/spreadsheetml/2006/main" count="6078" uniqueCount="75">
  <si>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</si>
  <si>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</si>
  <si>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</si>
  <si>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</si>
  <si>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</si>
  <si>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</si>
  <si>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</si>
  <si>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</si>
  <si>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</si>
  <si>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</si>
  <si>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</si>
  <si>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</si>
  <si>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</si>
  <si>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</si>
  <si>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</si>
  <si>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</si>
  <si>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</si>
  <si>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</si>
  <si>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</si>
  <si>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</si>
  <si>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</si>
  <si>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</si>
  <si>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</si>
  <si>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</si>
  <si>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</si>
  <si>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</si>
  <si>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</si>
  <si>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</si>
  <si>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</si>
  <si>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</si>
  <si>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</si>
  <si>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</si>
  <si>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</si>
  <si>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</si>
  <si>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</si>
  <si>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</si>
  <si>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</si>
  <si>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</si>
  <si>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</si>
  <si>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</si>
  <si>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</si>
  <si>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</si>
  <si>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</si>
  <si>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</si>
  <si>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</si>
  <si>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</si>
  <si>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</si>
  <si>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</si>
  <si>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</si>
  <si>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</si>
  <si>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</si>
  <si>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</si>
  <si>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</si>
  <si>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</si>
  <si>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</si>
  <si>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</si>
  <si>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</si>
  <si>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</si>
  <si>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</si>
  <si>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</si>
  <si>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</si>
  <si>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</si>
  <si>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</si>
  <si>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</si>
  <si>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</si>
  <si>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</si>
  <si>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</si>
  <si>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</si>
  <si>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Count</t>
  </si>
  <si>
    <t>CountA</t>
  </si>
  <si>
    <t>CountBlank</t>
  </si>
  <si>
    <t>Sumif</t>
  </si>
  <si>
    <t>Countif</t>
  </si>
  <si>
    <t>Averageif</t>
  </si>
  <si>
    <t>State\Product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</si>
</sst>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Q1001"/>
  <sheetViews>
    <sheetView tabSelected="1" topLeftCell="H17" zoomScale="190" zoomScaleNormal="190" workbookViewId="0">
      <selection activeCell="R21" sqref="R21"/>
    </sheetView>
  </sheetViews>
  <sheetFormatPr defaultRowHeight="14.4" x14ac:dyDescent="0.3"/>
  <cols>
    <col min="1" max="1" width="14.77734375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21.77734375" customWidth="1"/>
    <col min="13" max="13" width="10" bestFit="1" customWidth="1"/>
    <col min="14" max="14" width="15.77734375" bestFit="1" customWidth="1"/>
    <col min="15" max="15" width="12.88671875" customWidth="1"/>
    <col min="17" max="17" width="10.109375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4" t="s">
        <v>3</v>
      </c>
      <c r="M1" s="2" t="s">
        <v>71</v>
      </c>
      <c r="N1" s="2" t="s">
        <v>72</v>
      </c>
      <c r="O1" s="6" t="s">
        <v>73</v>
      </c>
    </row>
    <row r="2" spans="1:15" x14ac:dyDescent="0.3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s="5" t="s">
        <v>12</v>
      </c>
      <c r="M2">
        <f>SUMIF($D$1:$D$1001,L2,$J$1:$J$1001)</f>
        <v>5760949.46</v>
      </c>
      <c r="N2">
        <f>COUNTIF($D$1:$D$1001,L2)</f>
        <v>207</v>
      </c>
      <c r="O2">
        <f>AVERAGEIF(D:D,L2,J:J)</f>
        <v>27830.673719806764</v>
      </c>
    </row>
    <row r="3" spans="1:15" x14ac:dyDescent="0.3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s="5" t="s">
        <v>18</v>
      </c>
      <c r="M3">
        <f t="shared" ref="M3:M6" si="0">SUMIF($D$1:$D$1001,L3,$J$1:$J$1001)</f>
        <v>5643955.6600000011</v>
      </c>
      <c r="N3">
        <f t="shared" ref="N3:N6" si="1">COUNTIF($D$1:$D$1001,L3)</f>
        <v>208</v>
      </c>
      <c r="O3">
        <f t="shared" ref="O3:O6" si="2">AVERAGEIF(D:D,L3,J:J)</f>
        <v>27134.402211538465</v>
      </c>
    </row>
    <row r="4" spans="1:15" x14ac:dyDescent="0.3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s="5" t="s">
        <v>24</v>
      </c>
      <c r="M4">
        <f t="shared" si="0"/>
        <v>5614399.1900000004</v>
      </c>
      <c r="N4">
        <f t="shared" si="1"/>
        <v>212</v>
      </c>
      <c r="O4">
        <f t="shared" si="2"/>
        <v>26483.015047169814</v>
      </c>
    </row>
    <row r="5" spans="1:15" x14ac:dyDescent="0.3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s="5" t="s">
        <v>41</v>
      </c>
      <c r="M5">
        <f t="shared" si="0"/>
        <v>5135960.160000002</v>
      </c>
      <c r="N5">
        <f t="shared" si="1"/>
        <v>180</v>
      </c>
      <c r="O5">
        <f t="shared" si="2"/>
        <v>28533.112000000012</v>
      </c>
    </row>
    <row r="6" spans="1:15" x14ac:dyDescent="0.3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s="5" t="s">
        <v>48</v>
      </c>
      <c r="M6">
        <f t="shared" si="0"/>
        <v>5186665.2200000007</v>
      </c>
      <c r="N6">
        <f t="shared" si="1"/>
        <v>193</v>
      </c>
      <c r="O6">
        <f t="shared" si="2"/>
        <v>26873.913056994821</v>
      </c>
    </row>
    <row r="7" spans="1:15" x14ac:dyDescent="0.3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15" x14ac:dyDescent="0.3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15" x14ac:dyDescent="0.3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</row>
    <row r="10" spans="1:15" x14ac:dyDescent="0.3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</row>
    <row r="11" spans="1:15" x14ac:dyDescent="0.3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N11" s="2"/>
    </row>
    <row r="12" spans="1:15" x14ac:dyDescent="0.3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</row>
    <row r="13" spans="1:15" x14ac:dyDescent="0.3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</row>
    <row r="14" spans="1:15" x14ac:dyDescent="0.3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</row>
    <row r="15" spans="1:15" x14ac:dyDescent="0.3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15" x14ac:dyDescent="0.3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7" x14ac:dyDescent="0.3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L17" s="4" t="s">
        <v>74</v>
      </c>
      <c r="M17" s="5" t="s">
        <v>14</v>
      </c>
      <c r="N17" s="5" t="s">
        <v>20</v>
      </c>
      <c r="O17" s="5" t="s">
        <v>26</v>
      </c>
      <c r="P17" s="5" t="s">
        <v>30</v>
      </c>
      <c r="Q17" s="5" t="s">
        <v>37</v>
      </c>
    </row>
    <row r="18" spans="1:17" x14ac:dyDescent="0.3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s="5" t="s">
        <v>12</v>
      </c>
      <c r="M18" s="5">
        <f>SUMIFS($J:$J,$D:$D,$L18,$F:$F,M$17)</f>
        <v>1340361.22</v>
      </c>
      <c r="N18" s="5">
        <f t="shared" ref="N18:Q22" si="3">SUMIFS($J:$J,$D:$D,$L18,$F:$F,N$17)</f>
        <v>1391126.43</v>
      </c>
      <c r="O18" s="5">
        <f t="shared" si="3"/>
        <v>1253039.6400000004</v>
      </c>
      <c r="P18" s="5">
        <f t="shared" si="3"/>
        <v>784064.21</v>
      </c>
      <c r="Q18" s="5">
        <f t="shared" si="3"/>
        <v>992357.95999999985</v>
      </c>
    </row>
    <row r="19" spans="1:17" x14ac:dyDescent="0.3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s="5" t="s">
        <v>18</v>
      </c>
      <c r="M19" s="5">
        <f t="shared" ref="M19:M22" si="4">SUMIFS($J:$J,$D:$D,$L19,$F:$F,M$17)</f>
        <v>1069505.1699999997</v>
      </c>
      <c r="N19" s="5">
        <f t="shared" si="3"/>
        <v>996956.07000000007</v>
      </c>
      <c r="O19" s="5">
        <f t="shared" si="3"/>
        <v>1211380.46</v>
      </c>
      <c r="P19" s="5">
        <f t="shared" si="3"/>
        <v>1282043.48</v>
      </c>
      <c r="Q19" s="5">
        <f t="shared" si="3"/>
        <v>1084070.48</v>
      </c>
    </row>
    <row r="20" spans="1:17" x14ac:dyDescent="0.3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s="5" t="s">
        <v>24</v>
      </c>
      <c r="M20" s="5">
        <f t="shared" si="4"/>
        <v>1280993.58</v>
      </c>
      <c r="N20" s="5">
        <f t="shared" si="3"/>
        <v>1436227.9</v>
      </c>
      <c r="O20" s="5">
        <f t="shared" si="3"/>
        <v>1117578.8000000003</v>
      </c>
      <c r="P20" s="5">
        <f t="shared" si="3"/>
        <v>1037090.1800000002</v>
      </c>
      <c r="Q20" s="5">
        <f t="shared" si="3"/>
        <v>742508.7300000001</v>
      </c>
    </row>
    <row r="21" spans="1:17" x14ac:dyDescent="0.3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  <c r="L21" s="5" t="s">
        <v>41</v>
      </c>
      <c r="M21" s="5">
        <f t="shared" si="4"/>
        <v>1056225.2700000003</v>
      </c>
      <c r="N21" s="5">
        <f t="shared" si="3"/>
        <v>1002963.6400000001</v>
      </c>
      <c r="O21" s="5">
        <f t="shared" si="3"/>
        <v>1111940.6700000004</v>
      </c>
      <c r="P21" s="5">
        <f t="shared" si="3"/>
        <v>1007984.68</v>
      </c>
      <c r="Q21" s="5">
        <f t="shared" si="3"/>
        <v>956845.9</v>
      </c>
    </row>
    <row r="22" spans="1:17" x14ac:dyDescent="0.3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s="5" t="s">
        <v>48</v>
      </c>
      <c r="M22" s="5">
        <f t="shared" si="4"/>
        <v>1019518.83</v>
      </c>
      <c r="N22" s="5">
        <f t="shared" si="3"/>
        <v>920343.14000000013</v>
      </c>
      <c r="O22" s="5">
        <f t="shared" si="3"/>
        <v>982380.51000000013</v>
      </c>
      <c r="P22" s="5">
        <f t="shared" si="3"/>
        <v>1023042.3599999999</v>
      </c>
      <c r="Q22" s="5">
        <f t="shared" si="3"/>
        <v>1241380.3800000001</v>
      </c>
    </row>
    <row r="23" spans="1:17" x14ac:dyDescent="0.3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</row>
    <row r="24" spans="1:17" x14ac:dyDescent="0.3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</row>
    <row r="25" spans="1:17" x14ac:dyDescent="0.3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</row>
    <row r="26" spans="1:17" x14ac:dyDescent="0.3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s="4" t="s">
        <v>74</v>
      </c>
      <c r="M26" s="5" t="s">
        <v>14</v>
      </c>
      <c r="N26" s="5" t="s">
        <v>20</v>
      </c>
      <c r="O26" s="5" t="s">
        <v>26</v>
      </c>
      <c r="P26" s="5" t="s">
        <v>30</v>
      </c>
      <c r="Q26" s="5" t="s">
        <v>37</v>
      </c>
    </row>
    <row r="27" spans="1:17" x14ac:dyDescent="0.3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s="5" t="s">
        <v>12</v>
      </c>
      <c r="M27" s="5">
        <f>COUNTIFS($D:$D,$L27,$F:$F,M$26)</f>
        <v>44</v>
      </c>
      <c r="N27" s="5">
        <f t="shared" ref="N27:Q27" si="5">COUNTIFS($D:$D,$L27,$F:$F,N$26)</f>
        <v>41</v>
      </c>
      <c r="O27" s="5">
        <f t="shared" si="5"/>
        <v>49</v>
      </c>
      <c r="P27" s="5">
        <f t="shared" si="5"/>
        <v>34</v>
      </c>
      <c r="Q27" s="5">
        <f t="shared" si="5"/>
        <v>39</v>
      </c>
    </row>
    <row r="28" spans="1:17" x14ac:dyDescent="0.3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s="5" t="s">
        <v>18</v>
      </c>
      <c r="M28" s="5">
        <f t="shared" ref="M28:Q31" si="6">COUNTIFS($D:$D,$L28,$F:$F,M$26)</f>
        <v>41</v>
      </c>
      <c r="N28" s="5">
        <f t="shared" si="6"/>
        <v>33</v>
      </c>
      <c r="O28" s="5">
        <f t="shared" si="6"/>
        <v>45</v>
      </c>
      <c r="P28" s="5">
        <f t="shared" si="6"/>
        <v>43</v>
      </c>
      <c r="Q28" s="5">
        <f t="shared" si="6"/>
        <v>46</v>
      </c>
    </row>
    <row r="29" spans="1:17" x14ac:dyDescent="0.3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s="5" t="s">
        <v>24</v>
      </c>
      <c r="M29" s="5">
        <f t="shared" si="6"/>
        <v>42</v>
      </c>
      <c r="N29" s="5">
        <f t="shared" si="6"/>
        <v>46</v>
      </c>
      <c r="O29" s="5">
        <f t="shared" si="6"/>
        <v>42</v>
      </c>
      <c r="P29" s="5">
        <f t="shared" si="6"/>
        <v>42</v>
      </c>
      <c r="Q29" s="5">
        <f t="shared" si="6"/>
        <v>40</v>
      </c>
    </row>
    <row r="30" spans="1:17" x14ac:dyDescent="0.3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L30" s="5" t="s">
        <v>41</v>
      </c>
      <c r="M30" s="5">
        <f t="shared" si="6"/>
        <v>32</v>
      </c>
      <c r="N30" s="5">
        <f t="shared" si="6"/>
        <v>35</v>
      </c>
      <c r="O30" s="5">
        <f t="shared" si="6"/>
        <v>41</v>
      </c>
      <c r="P30" s="5">
        <f t="shared" si="6"/>
        <v>36</v>
      </c>
      <c r="Q30" s="5">
        <f t="shared" si="6"/>
        <v>36</v>
      </c>
    </row>
    <row r="31" spans="1:17" x14ac:dyDescent="0.3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s="5" t="s">
        <v>48</v>
      </c>
      <c r="M31" s="5">
        <f t="shared" si="6"/>
        <v>46</v>
      </c>
      <c r="N31" s="5">
        <f t="shared" si="6"/>
        <v>39</v>
      </c>
      <c r="O31" s="5">
        <f t="shared" si="6"/>
        <v>33</v>
      </c>
      <c r="P31" s="5">
        <f t="shared" si="6"/>
        <v>34</v>
      </c>
      <c r="Q31" s="5">
        <f t="shared" si="6"/>
        <v>41</v>
      </c>
    </row>
    <row r="32" spans="1:17" x14ac:dyDescent="0.3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</row>
    <row r="33" spans="1:17" x14ac:dyDescent="0.3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</row>
    <row r="34" spans="1:17" x14ac:dyDescent="0.3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s="4" t="s">
        <v>74</v>
      </c>
      <c r="M34" s="5" t="s">
        <v>14</v>
      </c>
      <c r="N34" s="5" t="s">
        <v>20</v>
      </c>
      <c r="O34" s="5" t="s">
        <v>26</v>
      </c>
      <c r="P34" s="5" t="s">
        <v>30</v>
      </c>
      <c r="Q34" s="5" t="s">
        <v>37</v>
      </c>
    </row>
    <row r="35" spans="1:17" x14ac:dyDescent="0.3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s="5" t="s">
        <v>12</v>
      </c>
      <c r="M35" s="5">
        <f>_xlfn.MINIFS($J:$J,$D:$D,$L35,$F:$F,M$17)</f>
        <v>676.56</v>
      </c>
      <c r="N35" s="5">
        <f t="shared" ref="N35:Q39" si="7">_xlfn.MINIFS($J:$J,$D:$D,$L35,$F:$F,N$17)</f>
        <v>2484.1799999999998</v>
      </c>
      <c r="O35" s="5">
        <f t="shared" si="7"/>
        <v>735.35</v>
      </c>
      <c r="P35" s="5">
        <f t="shared" si="7"/>
        <v>1544.87</v>
      </c>
      <c r="Q35" s="5">
        <f t="shared" si="7"/>
        <v>986.04</v>
      </c>
    </row>
    <row r="36" spans="1:17" x14ac:dyDescent="0.3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s="5" t="s">
        <v>18</v>
      </c>
      <c r="M36" s="5">
        <f t="shared" ref="M36:M39" si="8">_xlfn.MINIFS($J:$J,$D:$D,$L36,$F:$F,M$17)</f>
        <v>1107.05</v>
      </c>
      <c r="N36" s="5">
        <f t="shared" si="7"/>
        <v>2251.06</v>
      </c>
      <c r="O36" s="5">
        <f t="shared" si="7"/>
        <v>1717.6</v>
      </c>
      <c r="P36" s="5">
        <f t="shared" si="7"/>
        <v>414.64</v>
      </c>
      <c r="Q36" s="5">
        <f t="shared" si="7"/>
        <v>1239.78</v>
      </c>
    </row>
    <row r="37" spans="1:17" x14ac:dyDescent="0.3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s="5" t="s">
        <v>24</v>
      </c>
      <c r="M37" s="5">
        <f t="shared" si="8"/>
        <v>1083.26</v>
      </c>
      <c r="N37" s="5">
        <f t="shared" si="7"/>
        <v>1915.3</v>
      </c>
      <c r="O37" s="5">
        <f t="shared" si="7"/>
        <v>679.12</v>
      </c>
      <c r="P37" s="5">
        <f t="shared" si="7"/>
        <v>1223.28</v>
      </c>
      <c r="Q37" s="5">
        <f t="shared" si="7"/>
        <v>973.5</v>
      </c>
    </row>
    <row r="38" spans="1:17" x14ac:dyDescent="0.3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s="5" t="s">
        <v>41</v>
      </c>
      <c r="M38" s="5">
        <f t="shared" si="8"/>
        <v>2333.7800000000002</v>
      </c>
      <c r="N38" s="5">
        <f t="shared" si="7"/>
        <v>549.14</v>
      </c>
      <c r="O38" s="5">
        <f t="shared" si="7"/>
        <v>1167.72</v>
      </c>
      <c r="P38" s="5">
        <f t="shared" si="7"/>
        <v>403.2</v>
      </c>
      <c r="Q38" s="5">
        <f t="shared" si="7"/>
        <v>1783.62</v>
      </c>
    </row>
    <row r="39" spans="1:17" x14ac:dyDescent="0.3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L39" s="5" t="s">
        <v>48</v>
      </c>
      <c r="M39" s="5">
        <f t="shared" si="8"/>
        <v>2018.52</v>
      </c>
      <c r="N39" s="5">
        <f t="shared" si="7"/>
        <v>645.63</v>
      </c>
      <c r="O39" s="5">
        <f t="shared" si="7"/>
        <v>1744.54</v>
      </c>
      <c r="P39" s="5">
        <f t="shared" si="7"/>
        <v>1519.28</v>
      </c>
      <c r="Q39" s="5">
        <f t="shared" si="7"/>
        <v>3187.31</v>
      </c>
    </row>
    <row r="40" spans="1:17" x14ac:dyDescent="0.3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</row>
    <row r="41" spans="1:17" x14ac:dyDescent="0.3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</row>
    <row r="42" spans="1:17" x14ac:dyDescent="0.3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</row>
    <row r="43" spans="1:17" x14ac:dyDescent="0.3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7" x14ac:dyDescent="0.3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7" x14ac:dyDescent="0.3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7" x14ac:dyDescent="0.3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7" x14ac:dyDescent="0.3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7" x14ac:dyDescent="0.3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 x14ac:dyDescent="0.3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 x14ac:dyDescent="0.3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 x14ac:dyDescent="0.3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 x14ac:dyDescent="0.3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 x14ac:dyDescent="0.3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 x14ac:dyDescent="0.3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 x14ac:dyDescent="0.3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 x14ac:dyDescent="0.3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 x14ac:dyDescent="0.3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 x14ac:dyDescent="0.3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 x14ac:dyDescent="0.3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 x14ac:dyDescent="0.3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 x14ac:dyDescent="0.3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 x14ac:dyDescent="0.3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 x14ac:dyDescent="0.3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 x14ac:dyDescent="0.3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 x14ac:dyDescent="0.3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 x14ac:dyDescent="0.3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 x14ac:dyDescent="0.3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 x14ac:dyDescent="0.3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 x14ac:dyDescent="0.3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 x14ac:dyDescent="0.3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 x14ac:dyDescent="0.3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 x14ac:dyDescent="0.3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 x14ac:dyDescent="0.3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 x14ac:dyDescent="0.3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 x14ac:dyDescent="0.3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 x14ac:dyDescent="0.3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 x14ac:dyDescent="0.3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 x14ac:dyDescent="0.3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 x14ac:dyDescent="0.3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 x14ac:dyDescent="0.3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 x14ac:dyDescent="0.3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 x14ac:dyDescent="0.3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 x14ac:dyDescent="0.3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 x14ac:dyDescent="0.3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 x14ac:dyDescent="0.3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 x14ac:dyDescent="0.3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 x14ac:dyDescent="0.3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 x14ac:dyDescent="0.3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 x14ac:dyDescent="0.3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 x14ac:dyDescent="0.3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 x14ac:dyDescent="0.3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 x14ac:dyDescent="0.3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 x14ac:dyDescent="0.3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 x14ac:dyDescent="0.3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 x14ac:dyDescent="0.3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 x14ac:dyDescent="0.3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 x14ac:dyDescent="0.3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 x14ac:dyDescent="0.3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 x14ac:dyDescent="0.3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 x14ac:dyDescent="0.3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 x14ac:dyDescent="0.3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 x14ac:dyDescent="0.3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 x14ac:dyDescent="0.3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 x14ac:dyDescent="0.3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 x14ac:dyDescent="0.3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 x14ac:dyDescent="0.3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 x14ac:dyDescent="0.3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 x14ac:dyDescent="0.3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 x14ac:dyDescent="0.3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 x14ac:dyDescent="0.3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 x14ac:dyDescent="0.3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 x14ac:dyDescent="0.3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 x14ac:dyDescent="0.3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 x14ac:dyDescent="0.3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 x14ac:dyDescent="0.3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 x14ac:dyDescent="0.3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 x14ac:dyDescent="0.3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 x14ac:dyDescent="0.3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 x14ac:dyDescent="0.3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 x14ac:dyDescent="0.3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 x14ac:dyDescent="0.3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 x14ac:dyDescent="0.3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 x14ac:dyDescent="0.3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 x14ac:dyDescent="0.3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 x14ac:dyDescent="0.3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 x14ac:dyDescent="0.3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 x14ac:dyDescent="0.3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 x14ac:dyDescent="0.3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 x14ac:dyDescent="0.3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 x14ac:dyDescent="0.3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 x14ac:dyDescent="0.3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 x14ac:dyDescent="0.3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 x14ac:dyDescent="0.3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 x14ac:dyDescent="0.3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 x14ac:dyDescent="0.3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 x14ac:dyDescent="0.3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 x14ac:dyDescent="0.3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 x14ac:dyDescent="0.3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 x14ac:dyDescent="0.3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 x14ac:dyDescent="0.3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 x14ac:dyDescent="0.3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 x14ac:dyDescent="0.3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 x14ac:dyDescent="0.3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 x14ac:dyDescent="0.3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 x14ac:dyDescent="0.3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 x14ac:dyDescent="0.3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 x14ac:dyDescent="0.3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 x14ac:dyDescent="0.3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 x14ac:dyDescent="0.3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 x14ac:dyDescent="0.3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 x14ac:dyDescent="0.3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 x14ac:dyDescent="0.3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 x14ac:dyDescent="0.3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 x14ac:dyDescent="0.3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 x14ac:dyDescent="0.3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 x14ac:dyDescent="0.3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 x14ac:dyDescent="0.3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 x14ac:dyDescent="0.3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 x14ac:dyDescent="0.3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 x14ac:dyDescent="0.3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 x14ac:dyDescent="0.3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 x14ac:dyDescent="0.3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 x14ac:dyDescent="0.3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 x14ac:dyDescent="0.3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 x14ac:dyDescent="0.3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 x14ac:dyDescent="0.3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 x14ac:dyDescent="0.3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 x14ac:dyDescent="0.3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 x14ac:dyDescent="0.3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 x14ac:dyDescent="0.3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 x14ac:dyDescent="0.3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 x14ac:dyDescent="0.3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 x14ac:dyDescent="0.3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 x14ac:dyDescent="0.3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 x14ac:dyDescent="0.3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 x14ac:dyDescent="0.3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 x14ac:dyDescent="0.3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 x14ac:dyDescent="0.3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 x14ac:dyDescent="0.3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 x14ac:dyDescent="0.3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 x14ac:dyDescent="0.3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 x14ac:dyDescent="0.3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 x14ac:dyDescent="0.3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 x14ac:dyDescent="0.3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 x14ac:dyDescent="0.3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 x14ac:dyDescent="0.3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 x14ac:dyDescent="0.3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 x14ac:dyDescent="0.3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 x14ac:dyDescent="0.3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 x14ac:dyDescent="0.3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 x14ac:dyDescent="0.3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 x14ac:dyDescent="0.3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 x14ac:dyDescent="0.3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 x14ac:dyDescent="0.3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 x14ac:dyDescent="0.3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 x14ac:dyDescent="0.3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 x14ac:dyDescent="0.3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 x14ac:dyDescent="0.3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 x14ac:dyDescent="0.3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 x14ac:dyDescent="0.3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 x14ac:dyDescent="0.3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 x14ac:dyDescent="0.3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 x14ac:dyDescent="0.3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 x14ac:dyDescent="0.3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 x14ac:dyDescent="0.3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 x14ac:dyDescent="0.3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 x14ac:dyDescent="0.3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 x14ac:dyDescent="0.3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 x14ac:dyDescent="0.3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 x14ac:dyDescent="0.3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 x14ac:dyDescent="0.3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 x14ac:dyDescent="0.3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 x14ac:dyDescent="0.3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 x14ac:dyDescent="0.3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 x14ac:dyDescent="0.3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 x14ac:dyDescent="0.3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 x14ac:dyDescent="0.3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 x14ac:dyDescent="0.3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 x14ac:dyDescent="0.3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 x14ac:dyDescent="0.3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 x14ac:dyDescent="0.3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 x14ac:dyDescent="0.3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 x14ac:dyDescent="0.3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 x14ac:dyDescent="0.3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 x14ac:dyDescent="0.3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 x14ac:dyDescent="0.3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 x14ac:dyDescent="0.3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 x14ac:dyDescent="0.3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 x14ac:dyDescent="0.3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 x14ac:dyDescent="0.3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 x14ac:dyDescent="0.3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 x14ac:dyDescent="0.3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 x14ac:dyDescent="0.3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 x14ac:dyDescent="0.3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 x14ac:dyDescent="0.3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 x14ac:dyDescent="0.3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 x14ac:dyDescent="0.3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 x14ac:dyDescent="0.3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 x14ac:dyDescent="0.3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 x14ac:dyDescent="0.3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 x14ac:dyDescent="0.3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 x14ac:dyDescent="0.3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 x14ac:dyDescent="0.3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 x14ac:dyDescent="0.3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 x14ac:dyDescent="0.3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 x14ac:dyDescent="0.3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 x14ac:dyDescent="0.3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 x14ac:dyDescent="0.3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 x14ac:dyDescent="0.3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 x14ac:dyDescent="0.3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 x14ac:dyDescent="0.3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 x14ac:dyDescent="0.3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 x14ac:dyDescent="0.3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 x14ac:dyDescent="0.3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 x14ac:dyDescent="0.3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 x14ac:dyDescent="0.3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 x14ac:dyDescent="0.3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 x14ac:dyDescent="0.3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 x14ac:dyDescent="0.3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 x14ac:dyDescent="0.3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 x14ac:dyDescent="0.3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 x14ac:dyDescent="0.3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 x14ac:dyDescent="0.3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 x14ac:dyDescent="0.3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 x14ac:dyDescent="0.3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 x14ac:dyDescent="0.3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 x14ac:dyDescent="0.3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 x14ac:dyDescent="0.3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 x14ac:dyDescent="0.3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 x14ac:dyDescent="0.3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 x14ac:dyDescent="0.3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 x14ac:dyDescent="0.3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 x14ac:dyDescent="0.3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 x14ac:dyDescent="0.3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 x14ac:dyDescent="0.3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 x14ac:dyDescent="0.3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 x14ac:dyDescent="0.3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 x14ac:dyDescent="0.3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 x14ac:dyDescent="0.3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 x14ac:dyDescent="0.3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 x14ac:dyDescent="0.3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 x14ac:dyDescent="0.3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 x14ac:dyDescent="0.3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 x14ac:dyDescent="0.3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 x14ac:dyDescent="0.3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 x14ac:dyDescent="0.3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 x14ac:dyDescent="0.3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 x14ac:dyDescent="0.3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 x14ac:dyDescent="0.3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 x14ac:dyDescent="0.3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 x14ac:dyDescent="0.3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 x14ac:dyDescent="0.3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 x14ac:dyDescent="0.3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 x14ac:dyDescent="0.3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 x14ac:dyDescent="0.3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 x14ac:dyDescent="0.3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 x14ac:dyDescent="0.3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 x14ac:dyDescent="0.3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 x14ac:dyDescent="0.3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 x14ac:dyDescent="0.3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 x14ac:dyDescent="0.3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 x14ac:dyDescent="0.3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 x14ac:dyDescent="0.3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 x14ac:dyDescent="0.3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 x14ac:dyDescent="0.3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 x14ac:dyDescent="0.3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 x14ac:dyDescent="0.3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 x14ac:dyDescent="0.3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 x14ac:dyDescent="0.3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 x14ac:dyDescent="0.3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 x14ac:dyDescent="0.3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 x14ac:dyDescent="0.3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 x14ac:dyDescent="0.3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 x14ac:dyDescent="0.3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 x14ac:dyDescent="0.3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 x14ac:dyDescent="0.3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 x14ac:dyDescent="0.3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 x14ac:dyDescent="0.3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 x14ac:dyDescent="0.3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 x14ac:dyDescent="0.3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 x14ac:dyDescent="0.3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 x14ac:dyDescent="0.3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 x14ac:dyDescent="0.3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 x14ac:dyDescent="0.3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 x14ac:dyDescent="0.3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 x14ac:dyDescent="0.3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 x14ac:dyDescent="0.3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 x14ac:dyDescent="0.3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 x14ac:dyDescent="0.3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 x14ac:dyDescent="0.3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 x14ac:dyDescent="0.3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 x14ac:dyDescent="0.3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 x14ac:dyDescent="0.3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 x14ac:dyDescent="0.3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 x14ac:dyDescent="0.3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 x14ac:dyDescent="0.3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 x14ac:dyDescent="0.3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 x14ac:dyDescent="0.3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 x14ac:dyDescent="0.3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 x14ac:dyDescent="0.3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 x14ac:dyDescent="0.3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 x14ac:dyDescent="0.3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 x14ac:dyDescent="0.3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 x14ac:dyDescent="0.3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 x14ac:dyDescent="0.3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 x14ac:dyDescent="0.3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 x14ac:dyDescent="0.3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 x14ac:dyDescent="0.3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 x14ac:dyDescent="0.3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 x14ac:dyDescent="0.3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 x14ac:dyDescent="0.3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 x14ac:dyDescent="0.3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 x14ac:dyDescent="0.3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 x14ac:dyDescent="0.3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 x14ac:dyDescent="0.3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 x14ac:dyDescent="0.3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 x14ac:dyDescent="0.3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 x14ac:dyDescent="0.3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 x14ac:dyDescent="0.3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 x14ac:dyDescent="0.3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 x14ac:dyDescent="0.3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 x14ac:dyDescent="0.3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 x14ac:dyDescent="0.3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 x14ac:dyDescent="0.3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 x14ac:dyDescent="0.3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 x14ac:dyDescent="0.3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 x14ac:dyDescent="0.3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 x14ac:dyDescent="0.3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 x14ac:dyDescent="0.3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 x14ac:dyDescent="0.3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 x14ac:dyDescent="0.3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 x14ac:dyDescent="0.3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 x14ac:dyDescent="0.3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 x14ac:dyDescent="0.3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 x14ac:dyDescent="0.3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 x14ac:dyDescent="0.3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 x14ac:dyDescent="0.3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 x14ac:dyDescent="0.3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 x14ac:dyDescent="0.3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 x14ac:dyDescent="0.3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 x14ac:dyDescent="0.3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 x14ac:dyDescent="0.3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 x14ac:dyDescent="0.3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 x14ac:dyDescent="0.3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 x14ac:dyDescent="0.3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 x14ac:dyDescent="0.3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 x14ac:dyDescent="0.3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 x14ac:dyDescent="0.3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 x14ac:dyDescent="0.3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 x14ac:dyDescent="0.3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 x14ac:dyDescent="0.3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 x14ac:dyDescent="0.3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 x14ac:dyDescent="0.3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 x14ac:dyDescent="0.3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 x14ac:dyDescent="0.3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 x14ac:dyDescent="0.3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 x14ac:dyDescent="0.3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 x14ac:dyDescent="0.3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 x14ac:dyDescent="0.3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 x14ac:dyDescent="0.3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 x14ac:dyDescent="0.3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 x14ac:dyDescent="0.3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 x14ac:dyDescent="0.3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 x14ac:dyDescent="0.3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 x14ac:dyDescent="0.3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 x14ac:dyDescent="0.3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 x14ac:dyDescent="0.3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 x14ac:dyDescent="0.3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 x14ac:dyDescent="0.3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 x14ac:dyDescent="0.3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 x14ac:dyDescent="0.3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 x14ac:dyDescent="0.3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 x14ac:dyDescent="0.3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 x14ac:dyDescent="0.3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 x14ac:dyDescent="0.3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 x14ac:dyDescent="0.3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 x14ac:dyDescent="0.3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 x14ac:dyDescent="0.3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 x14ac:dyDescent="0.3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 x14ac:dyDescent="0.3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 x14ac:dyDescent="0.3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 x14ac:dyDescent="0.3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 x14ac:dyDescent="0.3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 x14ac:dyDescent="0.3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 x14ac:dyDescent="0.3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 x14ac:dyDescent="0.3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 x14ac:dyDescent="0.3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 x14ac:dyDescent="0.3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 x14ac:dyDescent="0.3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 x14ac:dyDescent="0.3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 x14ac:dyDescent="0.3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 x14ac:dyDescent="0.3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 x14ac:dyDescent="0.3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 x14ac:dyDescent="0.3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 x14ac:dyDescent="0.3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 x14ac:dyDescent="0.3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 x14ac:dyDescent="0.3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 x14ac:dyDescent="0.3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 x14ac:dyDescent="0.3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 x14ac:dyDescent="0.3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 x14ac:dyDescent="0.3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 x14ac:dyDescent="0.3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 x14ac:dyDescent="0.3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 x14ac:dyDescent="0.3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 x14ac:dyDescent="0.3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 x14ac:dyDescent="0.3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 x14ac:dyDescent="0.3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 x14ac:dyDescent="0.3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 x14ac:dyDescent="0.3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 x14ac:dyDescent="0.3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 x14ac:dyDescent="0.3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 x14ac:dyDescent="0.3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 x14ac:dyDescent="0.3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 x14ac:dyDescent="0.3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 x14ac:dyDescent="0.3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 x14ac:dyDescent="0.3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 x14ac:dyDescent="0.3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 x14ac:dyDescent="0.3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 x14ac:dyDescent="0.3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 x14ac:dyDescent="0.3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 x14ac:dyDescent="0.3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 x14ac:dyDescent="0.3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 x14ac:dyDescent="0.3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 x14ac:dyDescent="0.3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 x14ac:dyDescent="0.3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 x14ac:dyDescent="0.3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 x14ac:dyDescent="0.3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 x14ac:dyDescent="0.3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 x14ac:dyDescent="0.3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 x14ac:dyDescent="0.3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 x14ac:dyDescent="0.3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 x14ac:dyDescent="0.3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 x14ac:dyDescent="0.3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 x14ac:dyDescent="0.3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 x14ac:dyDescent="0.3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 x14ac:dyDescent="0.3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 x14ac:dyDescent="0.3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 x14ac:dyDescent="0.3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 x14ac:dyDescent="0.3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 x14ac:dyDescent="0.3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 x14ac:dyDescent="0.3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 x14ac:dyDescent="0.3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 x14ac:dyDescent="0.3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 x14ac:dyDescent="0.3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 x14ac:dyDescent="0.3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 x14ac:dyDescent="0.3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 x14ac:dyDescent="0.3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 x14ac:dyDescent="0.3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 x14ac:dyDescent="0.3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 x14ac:dyDescent="0.3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 x14ac:dyDescent="0.3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 x14ac:dyDescent="0.3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 x14ac:dyDescent="0.3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 x14ac:dyDescent="0.3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 x14ac:dyDescent="0.3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 x14ac:dyDescent="0.3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 x14ac:dyDescent="0.3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 x14ac:dyDescent="0.3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 x14ac:dyDescent="0.3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 x14ac:dyDescent="0.3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 x14ac:dyDescent="0.3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 x14ac:dyDescent="0.3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 x14ac:dyDescent="0.3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 x14ac:dyDescent="0.3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 x14ac:dyDescent="0.3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 x14ac:dyDescent="0.3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 x14ac:dyDescent="0.3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 x14ac:dyDescent="0.3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 x14ac:dyDescent="0.3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 x14ac:dyDescent="0.3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 x14ac:dyDescent="0.3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 x14ac:dyDescent="0.3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 x14ac:dyDescent="0.3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 x14ac:dyDescent="0.3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 x14ac:dyDescent="0.3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 x14ac:dyDescent="0.3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 x14ac:dyDescent="0.3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 x14ac:dyDescent="0.3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 x14ac:dyDescent="0.3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 x14ac:dyDescent="0.3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 x14ac:dyDescent="0.3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 x14ac:dyDescent="0.3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 x14ac:dyDescent="0.3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 x14ac:dyDescent="0.3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 x14ac:dyDescent="0.3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 x14ac:dyDescent="0.3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 x14ac:dyDescent="0.3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 x14ac:dyDescent="0.3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 x14ac:dyDescent="0.3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 x14ac:dyDescent="0.3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 x14ac:dyDescent="0.3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 x14ac:dyDescent="0.3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 x14ac:dyDescent="0.3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 x14ac:dyDescent="0.3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 x14ac:dyDescent="0.3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 x14ac:dyDescent="0.3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 x14ac:dyDescent="0.3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 x14ac:dyDescent="0.3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 x14ac:dyDescent="0.3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 x14ac:dyDescent="0.3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 x14ac:dyDescent="0.3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 x14ac:dyDescent="0.3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 x14ac:dyDescent="0.3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 x14ac:dyDescent="0.3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 x14ac:dyDescent="0.3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 x14ac:dyDescent="0.3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 x14ac:dyDescent="0.3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 x14ac:dyDescent="0.3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 x14ac:dyDescent="0.3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 x14ac:dyDescent="0.3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 x14ac:dyDescent="0.3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 x14ac:dyDescent="0.3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 x14ac:dyDescent="0.3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 x14ac:dyDescent="0.3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 x14ac:dyDescent="0.3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 x14ac:dyDescent="0.3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 x14ac:dyDescent="0.3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 x14ac:dyDescent="0.3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 x14ac:dyDescent="0.3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 x14ac:dyDescent="0.3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 x14ac:dyDescent="0.3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 x14ac:dyDescent="0.3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 x14ac:dyDescent="0.3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 x14ac:dyDescent="0.3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 x14ac:dyDescent="0.3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 x14ac:dyDescent="0.3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 x14ac:dyDescent="0.3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 x14ac:dyDescent="0.3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 x14ac:dyDescent="0.3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 x14ac:dyDescent="0.3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 x14ac:dyDescent="0.3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 x14ac:dyDescent="0.3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 x14ac:dyDescent="0.3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 x14ac:dyDescent="0.3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 x14ac:dyDescent="0.3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 x14ac:dyDescent="0.3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 x14ac:dyDescent="0.3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 x14ac:dyDescent="0.3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 x14ac:dyDescent="0.3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 x14ac:dyDescent="0.3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 x14ac:dyDescent="0.3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 x14ac:dyDescent="0.3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 x14ac:dyDescent="0.3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 x14ac:dyDescent="0.3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 x14ac:dyDescent="0.3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 x14ac:dyDescent="0.3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 x14ac:dyDescent="0.3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 x14ac:dyDescent="0.3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 x14ac:dyDescent="0.3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 x14ac:dyDescent="0.3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 x14ac:dyDescent="0.3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 x14ac:dyDescent="0.3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 x14ac:dyDescent="0.3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 x14ac:dyDescent="0.3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 x14ac:dyDescent="0.3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 x14ac:dyDescent="0.3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 x14ac:dyDescent="0.3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 x14ac:dyDescent="0.3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 x14ac:dyDescent="0.3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 x14ac:dyDescent="0.3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 x14ac:dyDescent="0.3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 x14ac:dyDescent="0.3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 x14ac:dyDescent="0.3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 x14ac:dyDescent="0.3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 x14ac:dyDescent="0.3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 x14ac:dyDescent="0.3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 x14ac:dyDescent="0.3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 x14ac:dyDescent="0.3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 x14ac:dyDescent="0.3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 x14ac:dyDescent="0.3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 x14ac:dyDescent="0.3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 x14ac:dyDescent="0.3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 x14ac:dyDescent="0.3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 x14ac:dyDescent="0.3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 x14ac:dyDescent="0.3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 x14ac:dyDescent="0.3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 x14ac:dyDescent="0.3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 x14ac:dyDescent="0.3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 x14ac:dyDescent="0.3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 x14ac:dyDescent="0.3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 x14ac:dyDescent="0.3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 x14ac:dyDescent="0.3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 x14ac:dyDescent="0.3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 x14ac:dyDescent="0.3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 x14ac:dyDescent="0.3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 x14ac:dyDescent="0.3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 x14ac:dyDescent="0.3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 x14ac:dyDescent="0.3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 x14ac:dyDescent="0.3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 x14ac:dyDescent="0.3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 x14ac:dyDescent="0.3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 x14ac:dyDescent="0.3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 x14ac:dyDescent="0.3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 x14ac:dyDescent="0.3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 x14ac:dyDescent="0.3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 x14ac:dyDescent="0.3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 x14ac:dyDescent="0.3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 x14ac:dyDescent="0.3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 x14ac:dyDescent="0.3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 x14ac:dyDescent="0.3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 x14ac:dyDescent="0.3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 x14ac:dyDescent="0.3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 x14ac:dyDescent="0.3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 x14ac:dyDescent="0.3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 x14ac:dyDescent="0.3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 x14ac:dyDescent="0.3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 x14ac:dyDescent="0.3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 x14ac:dyDescent="0.3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 x14ac:dyDescent="0.3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 x14ac:dyDescent="0.3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 x14ac:dyDescent="0.3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 x14ac:dyDescent="0.3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 x14ac:dyDescent="0.3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 x14ac:dyDescent="0.3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 x14ac:dyDescent="0.3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 x14ac:dyDescent="0.3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 x14ac:dyDescent="0.3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 x14ac:dyDescent="0.3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 x14ac:dyDescent="0.3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 x14ac:dyDescent="0.3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 x14ac:dyDescent="0.3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 x14ac:dyDescent="0.3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 x14ac:dyDescent="0.3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 x14ac:dyDescent="0.3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 x14ac:dyDescent="0.3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 x14ac:dyDescent="0.3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 x14ac:dyDescent="0.3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 x14ac:dyDescent="0.3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 x14ac:dyDescent="0.3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 x14ac:dyDescent="0.3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 x14ac:dyDescent="0.3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 x14ac:dyDescent="0.3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 x14ac:dyDescent="0.3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 x14ac:dyDescent="0.3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 x14ac:dyDescent="0.3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 x14ac:dyDescent="0.3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 x14ac:dyDescent="0.3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 x14ac:dyDescent="0.3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 x14ac:dyDescent="0.3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 x14ac:dyDescent="0.3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 x14ac:dyDescent="0.3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 x14ac:dyDescent="0.3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 x14ac:dyDescent="0.3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 x14ac:dyDescent="0.3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 x14ac:dyDescent="0.3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 x14ac:dyDescent="0.3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 x14ac:dyDescent="0.3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 x14ac:dyDescent="0.3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 x14ac:dyDescent="0.3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 x14ac:dyDescent="0.3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 x14ac:dyDescent="0.3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 x14ac:dyDescent="0.3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 x14ac:dyDescent="0.3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 x14ac:dyDescent="0.3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 x14ac:dyDescent="0.3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 x14ac:dyDescent="0.3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 x14ac:dyDescent="0.3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 x14ac:dyDescent="0.3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 x14ac:dyDescent="0.3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 x14ac:dyDescent="0.3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 x14ac:dyDescent="0.3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 x14ac:dyDescent="0.3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 x14ac:dyDescent="0.3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 x14ac:dyDescent="0.3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 x14ac:dyDescent="0.3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 x14ac:dyDescent="0.3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 x14ac:dyDescent="0.3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 x14ac:dyDescent="0.3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 x14ac:dyDescent="0.3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 x14ac:dyDescent="0.3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 x14ac:dyDescent="0.3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 x14ac:dyDescent="0.3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 x14ac:dyDescent="0.3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 x14ac:dyDescent="0.3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 x14ac:dyDescent="0.3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 x14ac:dyDescent="0.3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 x14ac:dyDescent="0.3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 x14ac:dyDescent="0.3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 x14ac:dyDescent="0.3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 x14ac:dyDescent="0.3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 x14ac:dyDescent="0.3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 x14ac:dyDescent="0.3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 x14ac:dyDescent="0.3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 x14ac:dyDescent="0.3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 x14ac:dyDescent="0.3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 x14ac:dyDescent="0.3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 x14ac:dyDescent="0.3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 x14ac:dyDescent="0.3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 x14ac:dyDescent="0.3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 x14ac:dyDescent="0.3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 x14ac:dyDescent="0.3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 x14ac:dyDescent="0.3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 x14ac:dyDescent="0.3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 x14ac:dyDescent="0.3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 x14ac:dyDescent="0.3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 x14ac:dyDescent="0.3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 x14ac:dyDescent="0.3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 x14ac:dyDescent="0.3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 x14ac:dyDescent="0.3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 x14ac:dyDescent="0.3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 x14ac:dyDescent="0.3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 x14ac:dyDescent="0.3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 x14ac:dyDescent="0.3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 x14ac:dyDescent="0.3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 x14ac:dyDescent="0.3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 x14ac:dyDescent="0.3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 x14ac:dyDescent="0.3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 x14ac:dyDescent="0.3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 x14ac:dyDescent="0.3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 x14ac:dyDescent="0.3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 x14ac:dyDescent="0.3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 x14ac:dyDescent="0.3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 x14ac:dyDescent="0.3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 x14ac:dyDescent="0.3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 x14ac:dyDescent="0.3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 x14ac:dyDescent="0.3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 x14ac:dyDescent="0.3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 x14ac:dyDescent="0.3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 x14ac:dyDescent="0.3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 x14ac:dyDescent="0.3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 x14ac:dyDescent="0.3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 x14ac:dyDescent="0.3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 x14ac:dyDescent="0.3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 x14ac:dyDescent="0.3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 x14ac:dyDescent="0.3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 x14ac:dyDescent="0.3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 x14ac:dyDescent="0.3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 x14ac:dyDescent="0.3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 x14ac:dyDescent="0.3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 x14ac:dyDescent="0.3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 x14ac:dyDescent="0.3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 x14ac:dyDescent="0.3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 x14ac:dyDescent="0.3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 x14ac:dyDescent="0.3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 x14ac:dyDescent="0.3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 x14ac:dyDescent="0.3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 x14ac:dyDescent="0.3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 x14ac:dyDescent="0.3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 x14ac:dyDescent="0.3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 x14ac:dyDescent="0.3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 x14ac:dyDescent="0.3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 x14ac:dyDescent="0.3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 x14ac:dyDescent="0.3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 x14ac:dyDescent="0.3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 x14ac:dyDescent="0.3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 x14ac:dyDescent="0.3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 x14ac:dyDescent="0.3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 x14ac:dyDescent="0.3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 x14ac:dyDescent="0.3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 x14ac:dyDescent="0.3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 x14ac:dyDescent="0.3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 x14ac:dyDescent="0.3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 x14ac:dyDescent="0.3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 x14ac:dyDescent="0.3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 x14ac:dyDescent="0.3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 x14ac:dyDescent="0.3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 x14ac:dyDescent="0.3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 x14ac:dyDescent="0.3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 x14ac:dyDescent="0.3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 x14ac:dyDescent="0.3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 x14ac:dyDescent="0.3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 x14ac:dyDescent="0.3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 x14ac:dyDescent="0.3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 x14ac:dyDescent="0.3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 x14ac:dyDescent="0.3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 x14ac:dyDescent="0.3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 x14ac:dyDescent="0.3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 x14ac:dyDescent="0.3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 x14ac:dyDescent="0.3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 x14ac:dyDescent="0.3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 x14ac:dyDescent="0.3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 x14ac:dyDescent="0.3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 x14ac:dyDescent="0.3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 x14ac:dyDescent="0.3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 x14ac:dyDescent="0.3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 x14ac:dyDescent="0.3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 x14ac:dyDescent="0.3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 x14ac:dyDescent="0.3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 x14ac:dyDescent="0.3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 x14ac:dyDescent="0.3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 x14ac:dyDescent="0.3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 x14ac:dyDescent="0.3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 x14ac:dyDescent="0.3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 x14ac:dyDescent="0.3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 x14ac:dyDescent="0.3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 x14ac:dyDescent="0.3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 x14ac:dyDescent="0.3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 x14ac:dyDescent="0.3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 x14ac:dyDescent="0.3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 x14ac:dyDescent="0.3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 x14ac:dyDescent="0.3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 x14ac:dyDescent="0.3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 x14ac:dyDescent="0.3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 x14ac:dyDescent="0.3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 x14ac:dyDescent="0.3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 x14ac:dyDescent="0.3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 x14ac:dyDescent="0.3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 x14ac:dyDescent="0.3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 x14ac:dyDescent="0.3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 x14ac:dyDescent="0.3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 x14ac:dyDescent="0.3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 x14ac:dyDescent="0.3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 x14ac:dyDescent="0.3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 x14ac:dyDescent="0.3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 x14ac:dyDescent="0.3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 x14ac:dyDescent="0.3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 x14ac:dyDescent="0.3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 x14ac:dyDescent="0.3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 x14ac:dyDescent="0.3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 x14ac:dyDescent="0.3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 x14ac:dyDescent="0.3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 x14ac:dyDescent="0.3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 x14ac:dyDescent="0.3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 x14ac:dyDescent="0.3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 x14ac:dyDescent="0.3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 x14ac:dyDescent="0.3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 x14ac:dyDescent="0.3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 x14ac:dyDescent="0.3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 x14ac:dyDescent="0.3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 x14ac:dyDescent="0.3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 x14ac:dyDescent="0.3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 x14ac:dyDescent="0.3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 x14ac:dyDescent="0.3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 x14ac:dyDescent="0.3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 x14ac:dyDescent="0.3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 x14ac:dyDescent="0.3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 x14ac:dyDescent="0.3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 x14ac:dyDescent="0.3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 x14ac:dyDescent="0.3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 x14ac:dyDescent="0.3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 x14ac:dyDescent="0.3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 x14ac:dyDescent="0.3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 x14ac:dyDescent="0.3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 x14ac:dyDescent="0.3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 x14ac:dyDescent="0.3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 x14ac:dyDescent="0.3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 x14ac:dyDescent="0.3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 x14ac:dyDescent="0.3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 x14ac:dyDescent="0.3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 x14ac:dyDescent="0.3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 x14ac:dyDescent="0.3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 x14ac:dyDescent="0.3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 x14ac:dyDescent="0.3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 x14ac:dyDescent="0.3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 x14ac:dyDescent="0.3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 x14ac:dyDescent="0.3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 x14ac:dyDescent="0.3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 x14ac:dyDescent="0.3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 x14ac:dyDescent="0.3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 x14ac:dyDescent="0.3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 x14ac:dyDescent="0.3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 x14ac:dyDescent="0.3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 x14ac:dyDescent="0.3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 x14ac:dyDescent="0.3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 x14ac:dyDescent="0.3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 x14ac:dyDescent="0.3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 x14ac:dyDescent="0.3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 x14ac:dyDescent="0.3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 x14ac:dyDescent="0.3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 x14ac:dyDescent="0.3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 x14ac:dyDescent="0.3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 x14ac:dyDescent="0.3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 x14ac:dyDescent="0.3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 x14ac:dyDescent="0.3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 x14ac:dyDescent="0.3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 x14ac:dyDescent="0.3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 x14ac:dyDescent="0.3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 x14ac:dyDescent="0.3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 x14ac:dyDescent="0.3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 x14ac:dyDescent="0.3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 x14ac:dyDescent="0.3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 x14ac:dyDescent="0.3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 x14ac:dyDescent="0.3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 x14ac:dyDescent="0.3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 x14ac:dyDescent="0.3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 x14ac:dyDescent="0.3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 x14ac:dyDescent="0.3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 x14ac:dyDescent="0.3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 x14ac:dyDescent="0.3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 x14ac:dyDescent="0.3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 x14ac:dyDescent="0.3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 x14ac:dyDescent="0.3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 x14ac:dyDescent="0.3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 x14ac:dyDescent="0.3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 x14ac:dyDescent="0.3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 x14ac:dyDescent="0.3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 x14ac:dyDescent="0.3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 x14ac:dyDescent="0.3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 x14ac:dyDescent="0.3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 x14ac:dyDescent="0.3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 x14ac:dyDescent="0.3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 x14ac:dyDescent="0.3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 x14ac:dyDescent="0.3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 x14ac:dyDescent="0.3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 x14ac:dyDescent="0.3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 x14ac:dyDescent="0.3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 x14ac:dyDescent="0.3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 x14ac:dyDescent="0.3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 x14ac:dyDescent="0.3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 x14ac:dyDescent="0.3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 x14ac:dyDescent="0.3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 x14ac:dyDescent="0.3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 x14ac:dyDescent="0.3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 x14ac:dyDescent="0.3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 x14ac:dyDescent="0.3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 x14ac:dyDescent="0.3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 x14ac:dyDescent="0.3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 x14ac:dyDescent="0.3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 x14ac:dyDescent="0.3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 x14ac:dyDescent="0.3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 x14ac:dyDescent="0.3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 x14ac:dyDescent="0.3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 x14ac:dyDescent="0.3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 x14ac:dyDescent="0.3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 x14ac:dyDescent="0.3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 x14ac:dyDescent="0.3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 x14ac:dyDescent="0.3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 x14ac:dyDescent="0.3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 x14ac:dyDescent="0.3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 x14ac:dyDescent="0.3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 x14ac:dyDescent="0.3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 x14ac:dyDescent="0.3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 x14ac:dyDescent="0.3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 x14ac:dyDescent="0.3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 x14ac:dyDescent="0.3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 x14ac:dyDescent="0.3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 x14ac:dyDescent="0.3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 x14ac:dyDescent="0.3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 x14ac:dyDescent="0.3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 x14ac:dyDescent="0.3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 x14ac:dyDescent="0.3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 x14ac:dyDescent="0.3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 x14ac:dyDescent="0.3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 x14ac:dyDescent="0.3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 x14ac:dyDescent="0.3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 x14ac:dyDescent="0.3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 x14ac:dyDescent="0.3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 x14ac:dyDescent="0.3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 x14ac:dyDescent="0.3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 x14ac:dyDescent="0.3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 x14ac:dyDescent="0.3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 x14ac:dyDescent="0.3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 x14ac:dyDescent="0.3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 x14ac:dyDescent="0.3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 x14ac:dyDescent="0.3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 x14ac:dyDescent="0.3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 x14ac:dyDescent="0.3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 x14ac:dyDescent="0.3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 x14ac:dyDescent="0.3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 x14ac:dyDescent="0.3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 x14ac:dyDescent="0.3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 x14ac:dyDescent="0.3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 x14ac:dyDescent="0.3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 x14ac:dyDescent="0.3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 x14ac:dyDescent="0.3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 x14ac:dyDescent="0.3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 x14ac:dyDescent="0.3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 x14ac:dyDescent="0.3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 x14ac:dyDescent="0.3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 x14ac:dyDescent="0.3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 x14ac:dyDescent="0.3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D4DE-FAEA-4B60-B72F-A7B3A92DE6D7}">
  <dimension ref="B2:G15"/>
  <sheetViews>
    <sheetView zoomScale="205" zoomScaleNormal="205" workbookViewId="0">
      <selection activeCell="J10" sqref="J10"/>
    </sheetView>
  </sheetViews>
  <sheetFormatPr defaultRowHeight="14.4" x14ac:dyDescent="0.3"/>
  <cols>
    <col min="2" max="2" width="10" bestFit="1" customWidth="1"/>
    <col min="3" max="3" width="6.44140625" bestFit="1" customWidth="1"/>
    <col min="4" max="4" width="3" bestFit="1" customWidth="1"/>
    <col min="6" max="6" width="10.21875" bestFit="1" customWidth="1"/>
  </cols>
  <sheetData>
    <row r="2" spans="2:7" x14ac:dyDescent="0.3">
      <c r="B2" t="s">
        <v>14</v>
      </c>
      <c r="C2" t="s">
        <v>15</v>
      </c>
      <c r="D2">
        <v>6</v>
      </c>
    </row>
    <row r="3" spans="2:7" x14ac:dyDescent="0.3">
      <c r="B3" t="s">
        <v>20</v>
      </c>
      <c r="C3" t="s">
        <v>21</v>
      </c>
      <c r="D3">
        <v>9</v>
      </c>
      <c r="F3" t="s">
        <v>68</v>
      </c>
      <c r="G3">
        <f>COUNT(D2:D15)</f>
        <v>13</v>
      </c>
    </row>
    <row r="4" spans="2:7" x14ac:dyDescent="0.3">
      <c r="B4" t="s">
        <v>20</v>
      </c>
      <c r="C4" t="s">
        <v>21</v>
      </c>
      <c r="D4">
        <v>11</v>
      </c>
      <c r="F4" t="s">
        <v>69</v>
      </c>
      <c r="G4">
        <f>COUNTA(D2:D15)</f>
        <v>13</v>
      </c>
    </row>
    <row r="5" spans="2:7" x14ac:dyDescent="0.3">
      <c r="B5" t="s">
        <v>26</v>
      </c>
      <c r="C5" t="s">
        <v>27</v>
      </c>
      <c r="D5">
        <v>9</v>
      </c>
      <c r="F5" t="s">
        <v>70</v>
      </c>
      <c r="G5">
        <f>COUNTBLANK(C2:C15)</f>
        <v>4</v>
      </c>
    </row>
    <row r="7" spans="2:7" x14ac:dyDescent="0.3">
      <c r="B7" t="s">
        <v>20</v>
      </c>
      <c r="D7">
        <v>7</v>
      </c>
    </row>
    <row r="8" spans="2:7" x14ac:dyDescent="0.3">
      <c r="B8" t="s">
        <v>37</v>
      </c>
      <c r="D8">
        <v>8</v>
      </c>
    </row>
    <row r="9" spans="2:7" x14ac:dyDescent="0.3">
      <c r="B9" t="s">
        <v>26</v>
      </c>
      <c r="C9" t="s">
        <v>27</v>
      </c>
      <c r="D9">
        <v>5</v>
      </c>
    </row>
    <row r="10" spans="2:7" x14ac:dyDescent="0.3">
      <c r="B10" t="s">
        <v>20</v>
      </c>
      <c r="C10" t="s">
        <v>21</v>
      </c>
      <c r="D10">
        <v>18</v>
      </c>
    </row>
    <row r="11" spans="2:7" x14ac:dyDescent="0.3">
      <c r="B11" t="s">
        <v>14</v>
      </c>
      <c r="D11">
        <v>10</v>
      </c>
    </row>
    <row r="12" spans="2:7" x14ac:dyDescent="0.3">
      <c r="B12" t="s">
        <v>37</v>
      </c>
      <c r="C12" t="s">
        <v>42</v>
      </c>
      <c r="D12">
        <v>19</v>
      </c>
    </row>
    <row r="13" spans="2:7" x14ac:dyDescent="0.3">
      <c r="B13" t="s">
        <v>26</v>
      </c>
      <c r="C13" t="s">
        <v>43</v>
      </c>
      <c r="D13">
        <v>19</v>
      </c>
    </row>
    <row r="14" spans="2:7" x14ac:dyDescent="0.3">
      <c r="B14" t="s">
        <v>20</v>
      </c>
      <c r="C14" t="s">
        <v>34</v>
      </c>
      <c r="D14">
        <v>6</v>
      </c>
    </row>
    <row r="15" spans="2:7" x14ac:dyDescent="0.3">
      <c r="B15" t="s">
        <v>26</v>
      </c>
      <c r="C15" t="s">
        <v>45</v>
      </c>
      <c r="D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2024-12-18T09:13:38Z</dcterms:created>
  <dcterms:modified xsi:type="dcterms:W3CDTF">2026-03-07T07:55:39Z</dcterms:modified>
</cp:coreProperties>
</file>