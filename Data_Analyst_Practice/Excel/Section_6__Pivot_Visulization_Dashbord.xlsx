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AHIL\Downloads\"/>
    </mc:Choice>
  </mc:AlternateContent>
  <xr:revisionPtr revIDLastSave="0" documentId="13_ncr:1_{A40C74FA-2DB7-4BF7-B038-BD8BE2D205E4}" xr6:coauthVersionLast="47" xr6:coauthVersionMax="47" xr10:uidLastSave="{00000000-0000-0000-0000-000000000000}"/>
  <bookViews>
    <workbookView xWindow="-108" yWindow="-108" windowWidth="23256" windowHeight="14616" xr2:uid="{4337B97F-AB0D-419D-AB2D-A64CB402A618}"/>
  </bookViews>
  <sheets>
    <sheet name="Sheet1" sheetId="1" r:id="rId1"/>
    <sheet name="Bar Chart" sheetId="3" r:id="rId2"/>
    <sheet name="Sheet2" sheetId="2" r:id="rId3"/>
    <sheet name="KPI Visuals" sheetId="5" r:id="rId4"/>
    <sheet name="Dashbord" sheetId="4" r:id="rId5"/>
  </sheets>
  <definedNames>
    <definedName name="Slicer_Region">#N/A</definedName>
    <definedName name="Timeline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13f6ddaa-421c-4a84-871d-47cccdf3de9b" name="Sheet1" connection="Excel Section_5_PivotTable"/>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1" i="1" l="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89E5A4-8770-45C8-92E4-6A0956984893}" name="Excel Section_5_PivotTable" type="100" refreshedVersion="0">
    <extLst>
      <ext xmlns:x15="http://schemas.microsoft.com/office/spreadsheetml/2010/11/main" uri="{DE250136-89BD-433C-8126-D09CA5730AF9}">
        <x15:connection id="a4264577-34f4-4df6-804f-e8b600f516b0"/>
      </ext>
    </extLst>
  </connection>
  <connection id="2" xr16:uid="{60CAEA5F-61A9-455E-9B3C-5352CA0FAC8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<sst xmlns="http://schemas.openxmlformats.org/spreadsheetml/2006/main" count="1066" uniqueCount="61">
  <si>
    <t>Grand Total</t>
  </si>
  <si>
    <t>West</t>
  </si>
  <si>
    <t>Sum of Sales</t>
  </si>
  <si>
    <t>Region</t>
  </si>
  <si>
    <t>Row Labels</t>
  </si>
  <si>
    <t>Total Profit</t>
  </si>
  <si>
    <t>2023Q1</t>
  </si>
  <si>
    <t>2023Q2</t>
  </si>
  <si>
    <t>2023Q3</t>
  </si>
  <si>
    <t>2023Q4</t>
  </si>
  <si>
    <t>Books</t>
  </si>
  <si>
    <t>Clothing</t>
  </si>
  <si>
    <t>Electronics</t>
  </si>
  <si>
    <t>Food</t>
  </si>
  <si>
    <t>Furniture</t>
  </si>
  <si>
    <t>Bread</t>
  </si>
  <si>
    <t>Chair</t>
  </si>
  <si>
    <t>Fiction</t>
  </si>
  <si>
    <t>Fruits</t>
  </si>
  <si>
    <t>Headphones</t>
  </si>
  <si>
    <t>History</t>
  </si>
  <si>
    <t>Jacket</t>
  </si>
  <si>
    <t>Laptop</t>
  </si>
  <si>
    <t>Milk</t>
  </si>
  <si>
    <t>Pants</t>
  </si>
  <si>
    <t>Science</t>
  </si>
  <si>
    <t>Shirt</t>
  </si>
  <si>
    <t>Smartphone</t>
  </si>
  <si>
    <t>Sofa</t>
  </si>
  <si>
    <t>Table</t>
  </si>
  <si>
    <t>Total Cost</t>
  </si>
  <si>
    <t>TotalSales Status</t>
  </si>
  <si>
    <t>Date</t>
  </si>
  <si>
    <t>SaleID</t>
  </si>
  <si>
    <t>Category</t>
  </si>
  <si>
    <t>Product</t>
  </si>
  <si>
    <t>Quantity</t>
  </si>
  <si>
    <t>UnitPrice</t>
  </si>
  <si>
    <t>Sales</t>
  </si>
  <si>
    <t>Target</t>
  </si>
  <si>
    <t>Year</t>
  </si>
  <si>
    <t>Quarter</t>
  </si>
  <si>
    <t>Month</t>
  </si>
  <si>
    <t>CheckBox</t>
  </si>
  <si>
    <t>Target Status</t>
  </si>
  <si>
    <t>East</t>
  </si>
  <si>
    <t>May</t>
  </si>
  <si>
    <t>January</t>
  </si>
  <si>
    <t>North</t>
  </si>
  <si>
    <t>October</t>
  </si>
  <si>
    <t>South</t>
  </si>
  <si>
    <t>April</t>
  </si>
  <si>
    <t>June</t>
  </si>
  <si>
    <t>July</t>
  </si>
  <si>
    <t>December</t>
  </si>
  <si>
    <t>February</t>
  </si>
  <si>
    <t>March</t>
  </si>
  <si>
    <t>August</t>
  </si>
  <si>
    <t>September</t>
  </si>
  <si>
    <t>November</t>
  </si>
  <si>
    <t>2024Q1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</si>
</sst>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4" fontId="0" fillId="0" borderId="0" xfId="0" applyNumberFormat="1"/>
    <xf numFmtId="14" fontId="0" fillId="0" borderId="0" xfId="0" applyNumberFormat="1" applyAlignment="1">
      <alignment horizontal="left"/>
    </xf>
    <xf numFmtId="0" fontId="0" fillId="0" borderId="0" xfId="0" applyAlignment="1">
      <alignment horizontal="center" vertical="top"/>
    </xf>
    <xf numFmtId="0" fontId="1" fillId="0" borderId="1" xfId="0" applyFont="1" applyBorder="1" applyAlignment="1">
      <alignment horizontal="center" vertical="top"/>
    </xf>
    <xf numFmtId="0" fontId="1" fillId="0" borderId="2" xfId="0" applyFont="1" applyBorder="1" applyAlignment="1">
      <alignment horizontal="center" vertical="center"/>
    </xf>
    <xf numFmtId="0" fontId="1" fillId="0" borderId="2" xfId="0" applyFont="1" applyBorder="1" applyAlignment="1">
      <alignment horizontal="center" vertical="top"/>
    </xf>
    <xf numFmtId="165" fontId="0" fillId="0" borderId="0" xfId="0" applyNumberFormat="1"/>
    <xf numFmtId="0" fontId="0" fillId="0" borderId="0" xfId="0" applyAlignment="1">
      <alignment horizontal="center" vertical="center"/>
    </xf>
  </cellXfs>
  <cellStyles count="1">
    <cellStyle name="Normal" xfId="0" builtinId="0"/>
  </cellStyles>
  <dxfs count="6">
    <dxf>
      <font>
        <color theme="0"/>
      </font>
      <fill>
        <patternFill>
          <bgColor rgb="FF00B050"/>
        </patternFill>
      </fill>
    </dxf>
    <dxf>
      <font>
        <color theme="0"/>
      </font>
      <fill>
        <patternFill>
          <bgColor rgb="FFFF0000"/>
        </patternFill>
      </fill>
    </dxf>
    <dxf>
      <alignment horizontal="center"/>
    </dxf>
    <dxf>
      <alignment horizontal="center"/>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Sheet2!$C$3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Sheet2!$B$4:$B$5</c:f>
              <c:strCache>
                <c:ptCount val="1"/>
                <c:pt idx="0">
                  <c:v>West</c:v>
                </c:pt>
              </c:strCache>
            </c:strRef>
          </c:cat>
          <c:val>
            <c:numRef>
              <c:f>Sheet2!$C$4:$C$5</c:f>
              <c:numCache>
                <c:formatCode>"₹"\ #,##0.00;#,##0.00\ \-"₹";"₹"\ #,##0.00</c:formatCode>
                <c:ptCount val="1"/>
                <c:pt idx="0">
                  <c:v>129812</c:v>
                </c:pt>
              </c:numCache>
            </c:numRef>
          </c:val>
          <c:extLst>
            <c:ext xmlns:c16="http://schemas.microsoft.com/office/drawing/2014/chart" uri="{C3380CC4-5D6E-409C-BE32-E72D297353CC}">
              <c16:uniqueId val="{00000000-06BB-449D-92B2-369928312626}"/>
            </c:ext>
          </c:extLst>
        </c:ser>
        <c:dLbls>
          <c:showLegendKey val="0"/>
          <c:showVal val="0"/>
          <c:showCatName val="0"/>
          <c:showSerName val="0"/>
          <c:showPercent val="0"/>
          <c:showBubbleSize val="0"/>
        </c:dLbls>
        <c:gapWidth val="150"/>
        <c:overlap val="100"/>
        <c:axId val="1271605263"/>
        <c:axId val="1016908223"/>
      </c:barChart>
      <c:catAx>
        <c:axId val="12716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908223"/>
        <c:crosses val="autoZero"/>
        <c:auto val="1"/>
        <c:lblAlgn val="ctr"/>
        <c:lblOffset val="100"/>
        <c:noMultiLvlLbl val="0"/>
      </c:catAx>
      <c:valAx>
        <c:axId val="101690822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605263"/>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83918">
          <a:srgbClr val="ADC1E4"/>
        </a:gs>
        <a:gs pos="100000">
          <a:schemeClr val="accent1">
            <a:lumMod val="45000"/>
            <a:lumOff val="55000"/>
          </a:schemeClr>
        </a:gs>
        <a:gs pos="8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[myBook6_Pivot_Visulization.xlsx]Bar Chart!PivotTable1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dLblPos val="ctr"/>
          <c:showLegendKey val="1"/>
          <c:showVal val="1"/>
          <c:showCatName val="0"/>
          <c:showSerName val="0"/>
          <c:showPercent val="0"/>
          <c:showBubbleSize val="0"/>
          <c:extLst>
            <c:ext xmlns:c15="http://schemas.microsoft.com/office/drawing/2012/chart" uri="{CE6537A1-D6FC-4f65-9D91-7224C49458BB}">
              <c15:layout>
                <c:manualLayout>
                  <c:w val="0.15661198600174978"/>
                  <c:h val="6.5377661125692627E-2"/>
                </c:manualLayout>
              </c15:layout>
            </c:ext>
          </c:extLst>
        </c:dLbl>
      </c:pivotFmt>
      <c:pivotFmt>
        <c:idx val="2"/>
        <c:dLbl>
          <c:idx val="0"/>
          <c:dLblPos val="ctr"/>
          <c:showLegendKey val="1"/>
          <c:showVal val="1"/>
          <c:showCatName val="0"/>
          <c:showSerName val="0"/>
          <c:showPercent val="0"/>
          <c:showBubbleSize val="0"/>
          <c:extLst>
            <c:ext xmlns:c15="http://schemas.microsoft.com/office/drawing/2012/chart" uri="{CE6537A1-D6FC-4f65-9D91-7224C49458BB}">
              <c15:layout>
                <c:manualLayout>
                  <c:w val="0.15661198600174978"/>
                  <c:h val="6.5377661125692627E-2"/>
                </c:manualLayout>
              </c15:layout>
            </c:ext>
          </c:extLst>
        </c:dLbl>
      </c:pivotFmt>
      <c:pivotFmt>
        <c:idx val="3"/>
        <c:dLbl>
          <c:idx val="0"/>
          <c:dLblPos val="ctr"/>
          <c:showLegendKey val="1"/>
          <c:showVal val="1"/>
          <c:showCatName val="0"/>
          <c:showSerName val="0"/>
          <c:showPercent val="0"/>
          <c:showBubbleSize val="0"/>
          <c:extLst>
            <c:ext xmlns:c15="http://schemas.microsoft.com/office/drawing/2012/chart" uri="{CE6537A1-D6FC-4f65-9D91-7224C49458BB}">
              <c15:layout>
                <c:manualLayout>
                  <c:w val="0.15661198600174978"/>
                  <c:h val="6.5377661125692627E-2"/>
                </c:manualLayout>
              </c15:layout>
            </c:ext>
          </c:extLst>
        </c:dLbl>
      </c:pivotFmt>
      <c:pivotFmt>
        <c:idx val="4"/>
        <c:dLbl>
          <c:idx val="0"/>
          <c:dLblPos val="ctr"/>
          <c:showLegendKey val="1"/>
          <c:showVal val="1"/>
          <c:showCatName val="0"/>
          <c:showSerName val="0"/>
          <c:showPercent val="0"/>
          <c:showBubbleSize val="0"/>
          <c:extLst>
            <c:ext xmlns:c15="http://schemas.microsoft.com/office/drawing/2012/chart" uri="{CE6537A1-D6FC-4f65-9D91-7224C49458BB}">
              <c15:layout>
                <c:manualLayout>
                  <c:w val="0.15661198600174978"/>
                  <c:h val="6.5377661125692627E-2"/>
                </c:manualLayout>
              </c15:layout>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350372730989598"/>
          <c:y val="4.5743671001856598E-2"/>
          <c:w val="0.79486493752345322"/>
          <c:h val="0.84685693740150703"/>
        </c:manualLayout>
      </c:layout>
      <c:barChart>
        <c:barDir val="bar"/>
        <c:grouping val="clustered"/>
        <c:varyColors val="0"/>
        <c:ser>
          <c:idx val="0"/>
          <c:order val="0"/>
          <c:tx>
            <c:strRef>
              <c:f>'Bar Chart'!$C$3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dLblPos val="ctr"/>
            <c:showLegendKey val="1"/>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'Bar Chart'!$B$4:$B$5</c:f>
              <c:strCache>
                <c:ptCount val="1"/>
                <c:pt idx="0">
                  <c:v>West</c:v>
                </c:pt>
              </c:strCache>
            </c:strRef>
          </c:cat>
          <c:val>
            <c:numRef>
              <c:f>'Bar Chart'!$C$4:$C$5</c:f>
              <c:numCache>
                <c:formatCode>"₹"\ #,##0.00;#,##0.00\ \-"₹";"₹"\ #,##0.00</c:formatCode>
                <c:ptCount val="1"/>
                <c:pt idx="0">
                  <c:v>106445.84</c:v>
                </c:pt>
              </c:numCache>
            </c:numRef>
          </c:val>
          <c:extLst>
            <c:ext xmlns:c16="http://schemas.microsoft.com/office/drawing/2014/chart" uri="{C3380CC4-5D6E-409C-BE32-E72D297353CC}">
              <c16:uniqueId val="{00000000-49F8-490F-99E0-8BDA9E570259}"/>
            </c:ext>
          </c:extLst>
        </c:ser>
        <c:dLbls>
          <c:showLegendKey val="0"/>
          <c:showVal val="0"/>
          <c:showCatName val="0"/>
          <c:showSerName val="0"/>
          <c:showPercent val="0"/>
          <c:showBubbleSize val="0"/>
        </c:dLbls>
        <c:gapWidth val="182"/>
        <c:axId val="800184319"/>
        <c:axId val="800178079"/>
      </c:barChart>
      <c:catAx>
        <c:axId val="800184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178079"/>
        <c:crosses val="autoZero"/>
        <c:auto val="1"/>
        <c:lblAlgn val="ctr"/>
        <c:lblOffset val="100"/>
        <c:noMultiLvlLbl val="0"/>
      </c:catAx>
      <c:valAx>
        <c:axId val="8001780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18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[myBook6_Pivot_Visulization.xlsx]Bar Chart!PivotTable5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Chart'!$B$22</c:f>
              <c:strCache>
                <c:ptCount val="1"/>
                <c:pt idx="0">
                  <c:v>Sum of Sales</c:v>
                </c:pt>
              </c:strCache>
            </c:strRef>
          </c:tx>
          <c:spPr>
            <a:solidFill>
              <a:schemeClr val="accent1"/>
            </a:solidFill>
            <a:ln>
              <a:noFill/>
            </a:ln>
            <a:effectLst/>
          </c:spPr>
          <c:invertIfNegative val="0"/>
          <c:cat>
            <c:strRef>
              <c:f>'Bar Chart'!$A$23:$A$24</c:f>
              <c:strCache>
                <c:ptCount val="1"/>
                <c:pt idx="0">
                  <c:v>West</c:v>
                </c:pt>
              </c:strCache>
            </c:strRef>
          </c:cat>
          <c:val>
            <c:numRef>
              <c:f>'Bar Chart'!$B$23:$B$24</c:f>
              <c:numCache>
                <c:formatCode>"₹"\ #,##0.00;#,##0.00\ \-"₹";"₹"\ #,##0.00</c:formatCode>
                <c:ptCount val="1"/>
                <c:pt idx="0">
                  <c:v>129812</c:v>
                </c:pt>
              </c:numCache>
            </c:numRef>
          </c:val>
          <c:extLst>
            <c:ext xmlns:c16="http://schemas.microsoft.com/office/drawing/2014/chart" uri="{C3380CC4-5D6E-409C-BE32-E72D297353CC}">
              <c16:uniqueId val="{00000000-D2C3-40E2-A3C0-F194C9FCA166}"/>
            </c:ext>
          </c:extLst>
        </c:ser>
        <c:ser>
          <c:idx val="1"/>
          <c:order val="1"/>
          <c:tx>
            <c:strRef>
              <c:f>'Bar Chart'!$C$22</c:f>
              <c:strCache>
                <c:ptCount val="1"/>
                <c:pt idx="0">
                  <c:v>Total Profit</c:v>
                </c:pt>
              </c:strCache>
            </c:strRef>
          </c:tx>
          <c:spPr>
            <a:solidFill>
              <a:schemeClr val="accent2"/>
            </a:solidFill>
            <a:ln w="25400">
              <a:noFill/>
            </a:ln>
            <a:effectLst/>
          </c:spPr>
          <c:invertIfNegative val="0"/>
          <c:cat>
            <c:strRef>
              <c:f>'Bar Chart'!$A$23:$A$24</c:f>
              <c:strCache>
                <c:ptCount val="1"/>
                <c:pt idx="0">
                  <c:v>West</c:v>
                </c:pt>
              </c:strCache>
            </c:strRef>
          </c:cat>
          <c:val>
            <c:numRef>
              <c:f>'Bar Chart'!$C$23:$C$24</c:f>
              <c:numCache>
                <c:formatCode>"₹"\ #,##0.00;#,##0.00\ \-"₹";"₹"\ #,##0.00</c:formatCode>
                <c:ptCount val="1"/>
                <c:pt idx="0">
                  <c:v>106445.84</c:v>
                </c:pt>
              </c:numCache>
            </c:numRef>
          </c:val>
          <c:extLst>
            <c:ext xmlns:c16="http://schemas.microsoft.com/office/drawing/2014/chart" uri="{C3380CC4-5D6E-409C-BE32-E72D297353CC}">
              <c16:uniqueId val="{00000001-D2C3-40E2-A3C0-F194C9FCA166}"/>
            </c:ext>
          </c:extLst>
        </c:ser>
        <c:dLbls>
          <c:showLegendKey val="0"/>
          <c:showVal val="0"/>
          <c:showCatName val="0"/>
          <c:showSerName val="0"/>
          <c:showPercent val="0"/>
          <c:showBubbleSize val="0"/>
        </c:dLbls>
        <c:gapWidth val="219"/>
        <c:overlap val="-27"/>
        <c:axId val="1508349599"/>
        <c:axId val="1508346239"/>
      </c:barChart>
      <c:valAx>
        <c:axId val="1508346239"/>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49599"/>
        <c:crosses val="max"/>
        <c:crossBetween val="between"/>
      </c:valAx>
      <c:catAx>
        <c:axId val="1508349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462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[myBook6_Pivot_Visulization.xlsx]Bar Chart!PivotTable4</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'Bar Chart'!$F$13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'Bar Chart'!$E$14:$E$29</c:f>
              <c:strCache>
                <c:ptCount val="15"/>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pt idx="14">
                  <c:v>Table</c:v>
                </c:pt>
              </c:strCache>
            </c:strRef>
          </c:cat>
          <c:val>
            <c:numRef>
              <c:f>'Bar Chart'!$F$14:$F$29</c:f>
              <c:numCache>
                <c:formatCode>"₹"\ #,##0.00;#,##0.00\ \-"₹";"₹"\ #,##0.00</c:formatCode>
                <c:ptCount val="15"/>
                <c:pt idx="0">
                  <c:v>13054</c:v>
                </c:pt>
                <c:pt idx="1">
                  <c:v>14164</c:v>
                </c:pt>
                <c:pt idx="2">
                  <c:v>22072</c:v>
                </c:pt>
                <c:pt idx="3">
                  <c:v>1320</c:v>
                </c:pt>
                <c:pt idx="4">
                  <c:v>10244</c:v>
                </c:pt>
                <c:pt idx="5">
                  <c:v>2884</c:v>
                </c:pt>
                <c:pt idx="6">
                  <c:v>17571</c:v>
                </c:pt>
                <c:pt idx="7">
                  <c:v>8029</c:v>
                </c:pt>
                <c:pt idx="8">
                  <c:v>11440</c:v>
                </c:pt>
                <c:pt idx="9">
                  <c:v>4740</c:v>
                </c:pt>
                <c:pt idx="10">
                  <c:v>3556</c:v>
                </c:pt>
                <c:pt idx="11">
                  <c:v>4378</c:v>
                </c:pt>
                <c:pt idx="12">
                  <c:v>3357</c:v>
                </c:pt>
                <c:pt idx="13">
                  <c:v>6518</c:v>
                </c:pt>
                <c:pt idx="14">
                  <c:v>6485</c:v>
                </c:pt>
              </c:numCache>
            </c:numRef>
          </c:val>
          <c:extLst>
            <c:ext xmlns:c16="http://schemas.microsoft.com/office/drawing/2014/chart" uri="{C3380CC4-5D6E-409C-BE32-E72D297353CC}">
              <c16:uniqueId val="{00000003-ABB6-48E8-AB67-8E77F87ADA96}"/>
            </c:ext>
          </c:extLst>
        </c:ser>
        <c:ser>
          <c:idx val="1"/>
          <c:order val="1"/>
          <c:tx>
            <c:strRef>
              <c:f>'Bar Chart'!$G$13</c:f>
              <c:strCache>
                <c:ptCount val="1"/>
                <c:pt idx="0">
                  <c:v>Total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'Bar Chart'!$E$14:$E$29</c:f>
              <c:strCache>
                <c:ptCount val="15"/>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pt idx="14">
                  <c:v>Table</c:v>
                </c:pt>
              </c:strCache>
            </c:strRef>
          </c:cat>
          <c:val>
            <c:numRef>
              <c:f>'Bar Chart'!$G$14:$G$29</c:f>
              <c:numCache>
                <c:formatCode>"₹"\ #,##0.00;#,##0.00\ \-"₹";"₹"\ #,##0.00</c:formatCode>
                <c:ptCount val="15"/>
                <c:pt idx="0">
                  <c:v>2349.7199999999998</c:v>
                </c:pt>
                <c:pt idx="1">
                  <c:v>2549.52</c:v>
                </c:pt>
                <c:pt idx="2">
                  <c:v>3972.96</c:v>
                </c:pt>
                <c:pt idx="3">
                  <c:v>237.6</c:v>
                </c:pt>
                <c:pt idx="4">
                  <c:v>1843.9199999999998</c:v>
                </c:pt>
                <c:pt idx="5">
                  <c:v>519.12</c:v>
                </c:pt>
                <c:pt idx="6">
                  <c:v>3162.7799999999997</c:v>
                </c:pt>
                <c:pt idx="7">
                  <c:v>1445.22</c:v>
                </c:pt>
                <c:pt idx="8">
                  <c:v>2059.1999999999998</c:v>
                </c:pt>
                <c:pt idx="9">
                  <c:v>853.19999999999993</c:v>
                </c:pt>
                <c:pt idx="10">
                  <c:v>640.07999999999993</c:v>
                </c:pt>
                <c:pt idx="11">
                  <c:v>788.04</c:v>
                </c:pt>
                <c:pt idx="12">
                  <c:v>604.26</c:v>
                </c:pt>
                <c:pt idx="13">
                  <c:v>1173.24</c:v>
                </c:pt>
                <c:pt idx="14">
                  <c:v>1167.3</c:v>
                </c:pt>
              </c:numCache>
            </c:numRef>
          </c:val>
          <c:extLst>
            <c:ext xmlns:c16="http://schemas.microsoft.com/office/drawing/2014/chart" uri="{C3380CC4-5D6E-409C-BE32-E72D297353CC}">
              <c16:uniqueId val="{00000004-ABB6-48E8-AB67-8E77F87ADA96}"/>
            </c:ext>
          </c:extLst>
        </c:ser>
        <c:ser>
          <c:idx val="2"/>
          <c:order val="2"/>
          <c:tx>
            <c:strRef>
              <c:f>'Bar Chart'!$H$13</c:f>
              <c:strCache>
                <c:ptCount val="1"/>
                <c:pt idx="0">
                  <c:v>Total Profit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'Bar Chart'!$E$14:$E$29</c:f>
              <c:strCache>
                <c:ptCount val="15"/>
                <c:pt idx="0">
                  <c:v>Bread</c:v>
                </c:pt>
                <c:pt idx="1">
                  <c:v>Chair</c:v>
                </c:pt>
                <c:pt idx="2">
                  <c:v>Fiction</c:v>
                </c:pt>
                <c:pt idx="3">
                  <c:v>Fruits</c:v>
                </c:pt>
                <c:pt idx="4">
                  <c:v>Headphones</c:v>
                </c:pt>
                <c:pt idx="5">
                  <c:v>History</c:v>
                </c:pt>
                <c:pt idx="6">
                  <c:v>Jacket</c:v>
                </c:pt>
                <c:pt idx="7">
                  <c:v>Laptop</c:v>
                </c:pt>
                <c:pt idx="8">
                  <c:v>Milk</c:v>
                </c:pt>
                <c:pt idx="9">
                  <c:v>Pants</c:v>
                </c:pt>
                <c:pt idx="10">
                  <c:v>Science</c:v>
                </c:pt>
                <c:pt idx="11">
                  <c:v>Shirt</c:v>
                </c:pt>
                <c:pt idx="12">
                  <c:v>Smartphone</c:v>
                </c:pt>
                <c:pt idx="13">
                  <c:v>Sofa</c:v>
                </c:pt>
                <c:pt idx="14">
                  <c:v>Table</c:v>
                </c:pt>
              </c:strCache>
            </c:strRef>
          </c:cat>
          <c:val>
            <c:numRef>
              <c:f>'Bar Chart'!$H$14:$H$29</c:f>
              <c:numCache>
                <c:formatCode>"₹"\ #,##0.00;#,##0.00\ \-"₹";"₹"\ #,##0.00</c:formatCode>
                <c:ptCount val="15"/>
                <c:pt idx="0">
                  <c:v>10704.28</c:v>
                </c:pt>
                <c:pt idx="1">
                  <c:v>11614.48</c:v>
                </c:pt>
                <c:pt idx="2">
                  <c:v>18099.04</c:v>
                </c:pt>
                <c:pt idx="3">
                  <c:v>1082.4000000000001</c:v>
                </c:pt>
                <c:pt idx="4">
                  <c:v>8400.08</c:v>
                </c:pt>
                <c:pt idx="5">
                  <c:v>2364.88</c:v>
                </c:pt>
                <c:pt idx="6">
                  <c:v>14408.220000000001</c:v>
                </c:pt>
                <c:pt idx="7">
                  <c:v>6583.78</c:v>
                </c:pt>
                <c:pt idx="8">
                  <c:v>9380.7999999999993</c:v>
                </c:pt>
                <c:pt idx="9">
                  <c:v>3886.8</c:v>
                </c:pt>
                <c:pt idx="10">
                  <c:v>2915.92</c:v>
                </c:pt>
                <c:pt idx="11">
                  <c:v>3589.96</c:v>
                </c:pt>
                <c:pt idx="12">
                  <c:v>2752.74</c:v>
                </c:pt>
                <c:pt idx="13">
                  <c:v>5344.76</c:v>
                </c:pt>
                <c:pt idx="14">
                  <c:v>5317.7</c:v>
                </c:pt>
              </c:numCache>
            </c:numRef>
          </c:val>
          <c:extLst>
            <c:ext xmlns:c16="http://schemas.microsoft.com/office/drawing/2014/chart" uri="{C3380CC4-5D6E-409C-BE32-E72D297353CC}">
              <c16:uniqueId val="{00000005-ABB6-48E8-AB67-8E77F87ADA96}"/>
            </c:ext>
          </c:extLst>
        </c:ser>
        <c:dLbls>
          <c:showLegendKey val="0"/>
          <c:showVal val="0"/>
          <c:showCatName val="0"/>
          <c:showSerName val="0"/>
          <c:showPercent val="0"/>
          <c:showBubbleSize val="0"/>
        </c:dLbls>
        <c:axId val="1420129375"/>
        <c:axId val="1420130335"/>
      </c:areaChart>
      <c:catAx>
        <c:axId val="14201293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130335"/>
        <c:crosses val="autoZero"/>
        <c:auto val="1"/>
        <c:lblAlgn val="ctr"/>
        <c:lblOffset val="100"/>
        <c:noMultiLvlLbl val="0"/>
      </c:catAx>
      <c:valAx>
        <c:axId val="142013033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01293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[myBook6_Pivot_Visulization.xlsx]Bar Chart!PivotTable2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'Bar Chart'!$F$3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'Bar Chart'!$E$4:$E$9</c:f>
              <c:multiLvlStrCache>
                <c:ptCount val="4"/>
                <c:lvl>
                  <c:pt idx="0">
                    <c:v>2023Q1</c:v>
                  </c:pt>
                  <c:pt idx="1">
                    <c:v>2023Q2</c:v>
                  </c:pt>
                  <c:pt idx="2">
                    <c:v>2023Q3</c:v>
                  </c:pt>
                  <c:pt idx="3">
                    <c:v>2023Q4</c:v>
                  </c:pt>
                </c:lvl>
                <c:lvl>
                  <c:pt idx="0">
                    <c:v>2023</c:v>
                  </c:pt>
                </c:lvl>
              </c:multiLvlStrCache>
            </c:multiLvlStrRef>
          </c:cat>
          <c:val>
            <c:numRef>
              <c:f>'Bar Chart'!$F$4:$F$9</c:f>
              <c:numCache>
                <c:formatCode>"₹"\ #,##0.00;#,##0.00\ \-"₹";"₹"\ #,##0.00</c:formatCode>
                <c:ptCount val="4"/>
                <c:pt idx="0">
                  <c:v>20406</c:v>
                </c:pt>
                <c:pt idx="1">
                  <c:v>47145</c:v>
                </c:pt>
                <c:pt idx="2">
                  <c:v>20764</c:v>
                </c:pt>
                <c:pt idx="3">
                  <c:v>41497</c:v>
                </c:pt>
              </c:numCache>
            </c:numRef>
          </c:val>
          <c:smooth val="0"/>
          <c:extLst>
            <c:ext xmlns:c16="http://schemas.microsoft.com/office/drawing/2014/chart" uri="{C3380CC4-5D6E-409C-BE32-E72D297353CC}">
              <c16:uniqueId val="{0000000D-0523-4E30-ADA0-CB6C4705744B}"/>
            </c:ext>
          </c:extLst>
        </c:ser>
        <c:dLbls>
          <c:showLegendKey val="0"/>
          <c:showVal val="0"/>
          <c:showCatName val="0"/>
          <c:showSerName val="0"/>
          <c:showPercent val="0"/>
          <c:showBubbleSize val="0"/>
        </c:dLbls>
        <c:marker val="1"/>
        <c:smooth val="0"/>
        <c:axId val="1420145215"/>
        <c:axId val="1420149535"/>
      </c:lineChart>
      <c:catAx>
        <c:axId val="14201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149535"/>
        <c:crosses val="autoZero"/>
        <c:auto val="1"/>
        <c:lblAlgn val="ctr"/>
        <c:lblOffset val="100"/>
        <c:noMultiLvlLbl val="0"/>
      </c:catAx>
      <c:valAx>
        <c:axId val="1420149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14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[myBook6_Pivot_Visulization.xlsx]Bar Chart!PivotTable3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'Bar Chart'!$C$13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7-4EDF-A2F0-863EFD3AB2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7-4EDF-A2F0-863EFD3AB2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B7-4EDF-A2F0-863EFD3AB2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B7-4EDF-A2F0-863EFD3AB2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B7-4EDF-A2F0-863EFD3AB2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'Bar Chart'!$B$14:$B$19</c:f>
              <c:strCache>
                <c:ptCount val="5"/>
                <c:pt idx="0">
                  <c:v>Books</c:v>
                </c:pt>
                <c:pt idx="1">
                  <c:v>Clothing</c:v>
                </c:pt>
                <c:pt idx="2">
                  <c:v>Electronics</c:v>
                </c:pt>
                <c:pt idx="3">
                  <c:v>Food</c:v>
                </c:pt>
                <c:pt idx="4">
                  <c:v>Furniture</c:v>
                </c:pt>
              </c:strCache>
            </c:strRef>
          </c:cat>
          <c:val>
            <c:numRef>
              <c:f>'Bar Chart'!$C$14:$C$19</c:f>
              <c:numCache>
                <c:formatCode>"₹"\ #,##0.00;#,##0.00\ \-"₹";"₹"\ #,##0.00</c:formatCode>
                <c:ptCount val="5"/>
                <c:pt idx="0">
                  <c:v>28512</c:v>
                </c:pt>
                <c:pt idx="1">
                  <c:v>26689</c:v>
                </c:pt>
                <c:pt idx="2">
                  <c:v>21630</c:v>
                </c:pt>
                <c:pt idx="3">
                  <c:v>25814</c:v>
                </c:pt>
                <c:pt idx="4">
                  <c:v>27167</c:v>
                </c:pt>
              </c:numCache>
            </c:numRef>
          </c:val>
          <c:extLst>
            <c:ext xmlns:c16="http://schemas.microsoft.com/office/drawing/2014/chart" uri="{C3380CC4-5D6E-409C-BE32-E72D297353CC}">
              <c16:uniqueId val="{0000000B-479F-4FF0-9C17-7E19AFB1BB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39702</xdr:colOff>
      <xdr:row>7</xdr:row>
      <xdr:rowOff>183715</xdr:rowOff>
    </xdr:from>
    <xdr:to>
      <xdr:col>14</xdr:col>
      <xdr:colOff>577584</xdr:colOff>
      <xdr:row>22</xdr:row>
      <xdr:rowOff>183714</xdr:rowOff>
    </xdr:to>
    <xdr:graphicFrame macro="">
      <xdr:nvGraphicFramePr>
        <xdr:cNvPr id="2" name="Chart 1">
          <a:extLst>
            <a:ext uri="{FF2B5EF4-FFF2-40B4-BE49-F238E27FC236}">
              <a16:creationId xmlns:a16="http://schemas.microsoft.com/office/drawing/2014/main" id="{F49F1B1A-8E71-4832-AD09-94094F19E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100813</xdr:rowOff>
    </xdr:from>
    <xdr:to>
      <xdr:col>7</xdr:col>
      <xdr:colOff>17928</xdr:colOff>
      <xdr:row>41</xdr:row>
      <xdr:rowOff>17929</xdr:rowOff>
    </xdr:to>
    <xdr:graphicFrame macro="">
      <xdr:nvGraphicFramePr>
        <xdr:cNvPr id="3" name="Chart 2">
          <a:extLst>
            <a:ext uri="{FF2B5EF4-FFF2-40B4-BE49-F238E27FC236}">
              <a16:creationId xmlns:a16="http://schemas.microsoft.com/office/drawing/2014/main" id="{E59DAE52-7192-42AA-A4B0-7603E0B50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201908</xdr:colOff>
      <xdr:row>22</xdr:row>
      <xdr:rowOff>152398</xdr:rowOff>
    </xdr:from>
    <xdr:to>
      <xdr:col>23</xdr:col>
      <xdr:colOff>26894</xdr:colOff>
      <xdr:row>40</xdr:row>
      <xdr:rowOff>179293</xdr:rowOff>
    </xdr:to>
    <xdr:graphicFrame macro="">
      <xdr:nvGraphicFramePr>
        <xdr:cNvPr id="4" name="Chart 3">
          <a:extLst>
            <a:ext uri="{FF2B5EF4-FFF2-40B4-BE49-F238E27FC236}">
              <a16:creationId xmlns:a16="http://schemas.microsoft.com/office/drawing/2014/main" id="{B64B389D-2B12-44DB-90FC-3753756EF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179293</xdr:colOff>
      <xdr:row>1</xdr:row>
      <xdr:rowOff>143435</xdr:rowOff>
    </xdr:from>
    <xdr:to>
      <xdr:col>15</xdr:col>
      <xdr:colOff>295834</xdr:colOff>
      <xdr:row>5</xdr:row>
      <xdr:rowOff>143434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86A9B24-D815-4E10-A4EF-071065FEA5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75293" y="328492"/>
              <a:ext cx="3164541" cy="740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xdr:colOff>
      <xdr:row>7</xdr:row>
      <xdr:rowOff>152399</xdr:rowOff>
    </xdr:from>
    <xdr:to>
      <xdr:col>25</xdr:col>
      <xdr:colOff>197224</xdr:colOff>
      <xdr:row>22</xdr:row>
      <xdr:rowOff>161364</xdr:rowOff>
    </xdr:to>
    <xdr:graphicFrame macro="">
      <xdr:nvGraphicFramePr>
        <xdr:cNvPr id="11" name="Chart 10">
          <a:extLst>
            <a:ext uri="{FF2B5EF4-FFF2-40B4-BE49-F238E27FC236}">
              <a16:creationId xmlns:a16="http://schemas.microsoft.com/office/drawing/2014/main" id="{7CAF1516-45A9-4E95-93B5-D30B60603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188258</xdr:colOff>
      <xdr:row>23</xdr:row>
      <xdr:rowOff>71717</xdr:rowOff>
    </xdr:from>
    <xdr:to>
      <xdr:col>27</xdr:col>
      <xdr:colOff>607358</xdr:colOff>
      <xdr:row>36</xdr:row>
      <xdr:rowOff>146637</xdr:rowOff>
    </xdr:to>
    <xdr:graphicFrame macro="">
      <xdr:nvGraphicFramePr>
        <xdr:cNvPr id="12" name="Chart 11">
          <a:extLst>
            <a:ext uri="{FF2B5EF4-FFF2-40B4-BE49-F238E27FC236}">
              <a16:creationId xmlns:a16="http://schemas.microsoft.com/office/drawing/2014/main" id="{F7147348-234B-4172-8D4A-59C6063D2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35862</xdr:colOff>
      <xdr:row>22</xdr:row>
      <xdr:rowOff>134470</xdr:rowOff>
    </xdr:from>
    <xdr:to>
      <xdr:col>13</xdr:col>
      <xdr:colOff>215156</xdr:colOff>
      <xdr:row>41</xdr:row>
      <xdr:rowOff>17929</xdr:rowOff>
    </xdr:to>
    <xdr:graphicFrame macro="">
      <xdr:nvGraphicFramePr>
        <xdr:cNvPr id="13" name="Chart 12">
          <a:extLst>
            <a:ext uri="{FF2B5EF4-FFF2-40B4-BE49-F238E27FC236}">
              <a16:creationId xmlns:a16="http://schemas.microsoft.com/office/drawing/2014/main" id="{A17F27D9-E1B0-49C0-9F76-8010A8F55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8965</xdr:colOff>
      <xdr:row>0</xdr:row>
      <xdr:rowOff>0</xdr:rowOff>
    </xdr:from>
    <xdr:to>
      <xdr:col>10</xdr:col>
      <xdr:colOff>143435</xdr:colOff>
      <xdr:row>7</xdr:row>
      <xdr:rowOff>116541</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23A888EA-94FD-4ABE-ABE2-79F6C4DC33E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965" y="0"/>
              <a:ext cx="6230470" cy="14119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7649652781" createdVersion="5" refreshedVersion="8" minRefreshableVersion="3" recordCount="0" supportSubquery="1" supportAdvancedDrill="1" xr:uid="{71BDEFD3-A374-436A-A47D-0BD7696CD9B2}">
  <cacheSource type="external" connectionId="2"/>
  <cacheFields count="3">
    <cacheField name="[Sheet1].[Date].[Date]" caption="Date" numFmtId="0" hierarchy="4" level="1">
      <sharedItems containsSemiMixedTypes="0" containsNonDate="0" containsDate="1" containsString="0" minDate="2023-01-04T00:00:00" maxDate="2024-01-02T00:00:00" count="163">
        <d v="2023-01-04T00:00:00"/>
        <d v="2023-01-07T00:00:00"/>
        <d v="2023-01-11T00:00:00"/>
        <d v="2023-01-17T00:00:00"/>
        <d v="2023-01-27T00:00:00"/>
        <d v="2023-01-29T00:00:00"/>
        <d v="2023-02-02T00:00:00"/>
        <d v="2023-02-03T00:00:00"/>
        <d v="2023-02-04T00:00:00"/>
        <d v="2023-02-05T00:00:00"/>
        <d v="2023-02-06T00:00:00"/>
        <d v="2023-02-07T00:00:00"/>
        <d v="2023-02-08T00:00:00"/>
        <d v="2023-02-13T00:00:00"/>
        <d v="2023-02-15T00:00:00"/>
        <d v="2023-02-20T00:00:00"/>
        <d v="2023-02-21T00:00:00"/>
        <d v="2023-02-22T00:00:00"/>
        <d v="2023-02-24T00:00:00"/>
        <d v="2023-02-25T00:00:00"/>
        <d v="2023-03-03T00:00:00"/>
        <d v="2023-03-04T00:00:00"/>
        <d v="2023-03-09T00:00:00"/>
        <d v="2023-03-11T00:00:00"/>
        <d v="2023-03-19T00:00:00"/>
        <d v="2023-03-20T00:00:00"/>
        <d v="2023-03-25T00:00:00"/>
        <d v="2023-03-31T00:00:00"/>
        <d v="2023-04-02T00:00:00"/>
        <d v="2023-04-06T00:00:00"/>
        <d v="2023-04-08T00:00:00"/>
        <d v="2023-04-09T00:00:00"/>
        <d v="2023-04-12T00:00:00"/>
        <d v="2023-04-17T00:00:00"/>
        <d v="2023-04-18T00:00:00"/>
        <d v="2023-04-19T00:00:00"/>
        <d v="2023-04-20T00:00:00"/>
        <d v="2023-04-21T00:00:00"/>
        <d v="2023-04-22T00:00:00"/>
        <d v="2023-04-23T00:00:00"/>
        <d v="2023-04-25T00:00:00"/>
        <d v="2023-04-26T00:00:00"/>
        <d v="2023-04-27T00:00:00"/>
        <d v="2023-04-29T00:00:00"/>
        <d v="2023-05-01T00:00:00"/>
        <d v="2023-05-03T00:00:00"/>
        <d v="2023-05-06T00:00:00"/>
        <d v="2023-05-07T00:00:00"/>
        <d v="2023-05-10T00:00:00"/>
        <d v="2023-05-11T00:00:00"/>
        <d v="2023-05-21T00:00:00"/>
        <d v="2023-05-22T00:00:00"/>
        <d v="2023-05-23T00:00:00"/>
        <d v="2023-05-24T00:00:00"/>
        <d v="2023-05-26T00:00:00"/>
        <d v="2023-05-27T00:00:00"/>
        <d v="2023-05-28T00:00:00"/>
        <d v="2023-05-30T00:00:00"/>
        <d v="2023-05-31T00:00:00"/>
        <d v="2023-06-03T00:00:00"/>
        <d v="2023-06-06T00:00:00"/>
        <d v="2023-06-07T00:00:00"/>
        <d v="2023-06-08T00:00:00"/>
        <d v="2023-06-10T00:00:00"/>
        <d v="2023-06-12T00:00:00"/>
        <d v="2023-06-15T00:00:00"/>
        <d v="2023-06-16T00:00:00"/>
        <d v="2023-06-17T00:00:00"/>
        <d v="2023-06-18T00:00:00"/>
        <d v="2023-06-20T00:00:00"/>
        <d v="2023-06-22T00:00:00"/>
        <d v="2023-06-23T00:00:00"/>
        <d v="2023-06-24T00:00:00"/>
        <d v="2023-06-25T00:00:00"/>
        <d v="2023-06-26T00:00:00"/>
        <d v="2023-06-28T00:00:00"/>
        <d v="2023-06-30T00:00:00"/>
        <d v="2023-07-01T00:00:00"/>
        <d v="2023-07-05T00:00:00"/>
        <d v="2023-07-06T00:00:00"/>
        <d v="2023-07-10T00:00:00"/>
        <d v="2023-07-13T00:00:00"/>
        <d v="2023-07-14T00:00:00"/>
        <d v="2023-07-15T00:00:00"/>
        <d v="2023-07-16T00:00:00"/>
        <d v="2023-07-21T00:00:00"/>
        <d v="2023-07-23T00:00:00"/>
        <d v="2023-07-24T00:00:00"/>
        <d v="2023-07-25T00:00:00"/>
        <d v="2023-07-28T00:00:00"/>
        <d v="2023-07-30T00:00:00"/>
        <d v="2023-07-31T00:00:00"/>
        <d v="2023-08-01T00:00:00"/>
        <d v="2023-08-04T00:00:00"/>
        <d v="2023-08-05T00:00:00"/>
        <d v="2023-08-09T00:00:00"/>
        <d v="2023-08-11T00:00:00"/>
        <d v="2023-08-13T00:00:00"/>
        <d v="2023-08-15T00:00:00"/>
        <d v="2023-08-16T00:00:00"/>
        <d v="2023-08-20T00:00:00"/>
        <d v="2023-08-21T00:00:00"/>
        <d v="2023-08-24T00:00:00"/>
        <d v="2023-08-26T00:00:00"/>
        <d v="2023-08-27T00:00:00"/>
        <d v="2023-08-28T00:00:00"/>
        <d v="2023-08-31T00:00:00"/>
        <d v="2023-09-01T00:00:00"/>
        <d v="2023-09-07T00:00:00"/>
        <d v="2023-09-09T00:00:00"/>
        <d v="2023-09-10T00:00:00"/>
        <d v="2023-09-11T00:00:00"/>
        <d v="2023-09-17T00:00:00"/>
        <d v="2023-09-25T00:00:00"/>
        <d v="2023-09-27T00:00:00"/>
        <d v="2023-09-29T00:00:00"/>
        <d v="2023-09-30T00:00:00"/>
        <d v="2023-10-01T00:00:00"/>
        <d v="2023-10-04T00:00:00"/>
        <d v="2023-10-07T00:00:00"/>
        <d v="2023-10-09T00:00:00"/>
        <d v="2023-10-10T00:00:00"/>
        <d v="2023-10-11T00:00:00"/>
        <d v="2023-10-13T00:00:00"/>
        <d v="2023-10-15T00:00:00"/>
        <d v="2023-10-16T00:00:00"/>
        <d v="2023-10-17T00:00:00"/>
        <d v="2023-10-19T00:00:00"/>
        <d v="2023-10-20T00:00:00"/>
        <d v="2023-10-25T00:00:00"/>
        <d v="2023-10-27T00:00:00"/>
        <d v="2023-10-28T00:00:00"/>
        <d v="2023-10-29T00:00:00"/>
        <d v="2023-11-03T00:00:00"/>
        <d v="2023-11-06T00:00:00"/>
        <d v="2023-11-09T00:00:00"/>
        <d v="2023-11-12T00:00:00"/>
        <d v="2023-11-14T00:00:00"/>
        <d v="2023-11-15T00:00:00"/>
        <d v="2023-11-17T00:00:00"/>
        <d v="2023-11-19T00:00:00"/>
        <d v="2023-11-20T00:00:00"/>
        <d v="2023-11-22T00:00:00"/>
        <d v="2023-11-25T00:00:00"/>
        <d v="2023-11-26T00:00:00"/>
        <d v="2023-11-28T00:00:00"/>
        <d v="2023-11-29T00:00:00"/>
        <d v="2023-12-02T00:00:00"/>
        <d v="2023-12-03T00:00:00"/>
        <d v="2023-12-08T00:00:00"/>
        <d v="2023-12-10T00:00:00"/>
        <d v="2023-12-11T00:00:00"/>
        <d v="2023-12-12T00:00:00"/>
        <d v="2023-12-14T00:00:00"/>
        <d v="2023-12-16T00:00:00"/>
        <d v="2023-12-17T00:00:00"/>
        <d v="2023-12-19T00:00:00"/>
        <d v="2023-12-20T00:00:00"/>
        <d v="2023-12-23T00:00:00"/>
        <d v="2023-12-24T00:00:00"/>
        <d v="2023-12-26T00:00:00"/>
        <d v="2023-12-27T00:00:00"/>
        <d v="2024-01-01T00:00:00"/>
      </sharedItems>
    </cacheField>
    <cacheField name="[Measures].[_TotalSales Status]" caption="_TotalSales Status" numFmtId="0" hierarchy="24" level="32767"/>
    <cacheField name="[Measures].[Sum of Sales]" caption="Sum of Sales" numFmtId="0" hierarchy="25" level="32767"/>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0"/>
      </fieldsUsage>
    </cacheHierarchy>
    <cacheHierarchy uniqueName="[Sheet1].[Datehierarchy]" caption="Datehierarchy" defaultMemberUniqueName="[Sheet1].[Datehierarchy].[All]" allUniqueName="[Sheet1].[Datehierarchy].[All]" dimensionUniqueName="[Sheet1]" displayFolder="" count="4"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oneField="1" hidden="1">
      <fieldsUsage count="1">
        <fieldUsage x="1"/>
      </fieldsUsage>
    </cacheHierarchy>
    <cacheHierarchy uniqueName="[Measures].[Sum of Sales]" caption="Sum of Sales" measure="1" displayFolder="" measureGroup="Sheet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414352" createdVersion="5" refreshedVersion="8" minRefreshableVersion="3" recordCount="0" supportSubquery="1" supportAdvancedDrill="1" xr:uid="{0B07E0ED-BCCE-4845-94E7-A7C927ACF70E}">
  <cacheSource type="external" connectionId="2"/>
  <cacheFields count="3">
    <cacheField name="[Sheet1].[Region].[Region]" caption="Region" numFmtId="0" hierarchy="1" level="1">
      <sharedItems count="1">
        <s v="West"/>
      </sharedItems>
    </cacheField>
    <cacheField name="[Measures].[Sum of Sales]" caption="Sum of Sales" numFmtId="0" hierarchy="25" level="32767"/>
    <cacheField name="[Sheet1].[Date].[Date]" caption="Date" numFmtId="0" hierarchy="4"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2"/>
      </fieldsUsage>
    </cacheHierarchy>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4606482" createdVersion="5" refreshedVersion="8" minRefreshableVersion="3" recordCount="0" supportSubquery="1" supportAdvancedDrill="1" xr:uid="{C7F1E6D6-CE00-40B6-A11D-8EF08502C750}">
  <cacheSource type="external" connectionId="2"/>
  <cacheFields count="3">
    <cacheField name="[Measures].[Total Profit]" caption="Total Profit" numFmtId="0" hierarchy="19" level="32767"/>
    <cacheField name="[Sheet1].[Region].[Region]" caption="Region" numFmtId="0" hierarchy="1" level="1">
      <sharedItems count="1">
        <s v="West"/>
      </sharedItems>
    </cacheField>
    <cacheField name="[Sheet1].[Date].[Date]" caption="Date" numFmtId="0" hierarchy="4"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2"/>
      </fieldsUsage>
    </cacheHierarchy>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oneField="1">
      <fieldsUsage count="1">
        <fieldUsage x="0"/>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hidden="1">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4953705" createdVersion="8" refreshedVersion="8" minRefreshableVersion="3" recordCount="0" supportSubquery="1" supportAdvancedDrill="1" xr:uid="{F66A3641-44CC-482A-8313-0ADF6F723B3F}">
  <cacheSource type="external" connectionId="2"/>
  <cacheFields count="4">
    <cacheField name="[Sheet1].[Region].[Region]" caption="Region" numFmtId="0" hierarchy="1" level="1">
      <sharedItems count="1">
        <s v="West"/>
      </sharedItems>
    </cacheField>
    <cacheField name="[Measures].[Sum of Sales]" caption="Sum of Sales" numFmtId="0" hierarchy="25" level="32767"/>
    <cacheField name="[Measures].[Total Profit]" caption="Total Profit" numFmtId="0" hierarchy="19" level="32767"/>
    <cacheField name="[Sheet1].[Date].[Date]" caption="Date" numFmtId="0" hierarchy="4"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3"/>
      </fieldsUsage>
    </cacheHierarchy>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oneField="1">
      <fieldsUsage count="1">
        <fieldUsage x="2"/>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5532406" createdVersion="8" refreshedVersion="8" minRefreshableVersion="3" recordCount="0" supportSubquery="1" supportAdvancedDrill="1" xr:uid="{92ED9612-E376-44F0-8214-9382F54CF66C}">
  <cacheSource type="external" connectionId="2"/>
  <cacheFields count="6">
    <cacheField name="[Sheet1].[Datehierarchy].[Year]" caption="Year" numFmtId="0" hierarchy="5" level="1">
      <sharedItems containsSemiMixedTypes="0" containsString="0" containsNumber="1" containsInteger="1" minValue="2023" maxValue="2024" count="2">
        <n v="2023"/>
        <n v="2024" u="1"/>
      </sharedItems>
      <extLst>
        <ext xmlns:x15="http://schemas.microsoft.com/office/spreadsheetml/2010/11/main" uri="{4F2E5C28-24EA-4eb8-9CBF-B6C8F9C3D259}">
          <x15:cachedUniqueNames>
            <x15:cachedUniqueName index="0" name="[Sheet1].[Datehierarchy].[Year].&amp;[2.023E3]"/>
            <x15:cachedUniqueName index="1" name="[Sheet1].[Datehierarchy].[Year].&amp;[2.024E3]"/>
          </x15:cachedUniqueNames>
        </ext>
      </extLst>
    </cacheField>
    <cacheField name="[Sheet1].[Datehierarchy].[Quarter]" caption="Quarter" numFmtId="0" hierarchy="5" level="2">
      <sharedItems count="4">
        <s v="2023Q1"/>
        <s v="2023Q2"/>
        <s v="2023Q3"/>
        <s v="2023Q4"/>
      </sharedItems>
      <extLst>
        <ext xmlns:x15="http://schemas.microsoft.com/office/spreadsheetml/2010/11/main" uri="{4F2E5C28-24EA-4eb8-9CBF-B6C8F9C3D259}">
          <x15:cachedUniqueNames>
            <x15:cachedUniqueName index="0" name="[Sheet1].[Datehierarchy].[Year].&amp;[2.023E3].&amp;[2023Q1]"/>
            <x15:cachedUniqueName index="1" name="[Sheet1].[Datehierarchy].[Year].&amp;[2.023E3].&amp;[2023Q2]"/>
            <x15:cachedUniqueName index="2" name="[Sheet1].[Datehierarchy].[Year].&amp;[2.023E3].&amp;[2023Q3]"/>
            <x15:cachedUniqueName index="3" name="[Sheet1].[Datehierarchy].[Year].&amp;[2.023E3].&amp;[2023Q4]"/>
          </x15:cachedUniqueNames>
        </ext>
      </extLst>
    </cacheField>
    <cacheField name="[Sheet1].[Datehierarchy].[Month]" caption="Month" numFmtId="0" hierarchy="5" level="3">
      <sharedItems containsSemiMixedTypes="0" containsNonDate="0" containsString="0"/>
    </cacheField>
    <cacheField name="[Measures].[Sum of Sales]" caption="Sum of Sales" numFmtId="0" hierarchy="25" level="32767"/>
    <cacheField name="[Sheet1].[Date].[Date]" caption="Date" numFmtId="0" hierarchy="4" level="1">
      <sharedItems containsSemiMixedTypes="0" containsNonDate="0" containsString="0"/>
    </cacheField>
    <cacheField name="[Sheet1].[Region].[Region]" caption="Region" numFmtId="0" hierarchy="1"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5"/>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4"/>
      </fieldsUsage>
    </cacheHierarchy>
    <cacheHierarchy uniqueName="[Sheet1].[Datehierarchy]" caption="Datehierarchy" defaultMemberUniqueName="[Sheet1].[Datehierarchy].[All]" allUniqueName="[Sheet1].[Datehierarchy].[All]" dimensionUniqueName="[Sheet1]" displayFolder="" count="4" unbalanced="0">
      <fieldsUsage count="4">
        <fieldUsage x="-1"/>
        <fieldUsage x="0"/>
        <fieldUsage x="1"/>
        <fieldUsage x="2"/>
      </fieldsUsage>
    </cacheHierarchy>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6111114" createdVersion="8" refreshedVersion="8" minRefreshableVersion="3" recordCount="0" supportSubquery="1" supportAdvancedDrill="1" xr:uid="{ECC20FBD-FC64-4E4C-9724-69BE1D4B1390}">
  <cacheSource type="external" connectionId="2"/>
  <cacheFields count="4">
    <cacheField name="[Sheet1].[Category].[Category]" caption="Category" numFmtId="0" hierarchy="2" level="1">
      <sharedItems count="5">
        <s v="Books"/>
        <s v="Clothing"/>
        <s v="Electronics"/>
        <s v="Food"/>
        <s v="Furniture"/>
      </sharedItems>
    </cacheField>
    <cacheField name="[Measures].[Sum of Sales]" caption="Sum of Sales" numFmtId="0" hierarchy="25" level="32767"/>
    <cacheField name="[Sheet1].[Date].[Date]" caption="Date" numFmtId="0" hierarchy="4" level="1">
      <sharedItems containsSemiMixedTypes="0" containsNonDate="0" containsString="0"/>
    </cacheField>
    <cacheField name="[Sheet1].[Region].[Region]" caption="Region" numFmtId="0" hierarchy="1"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3"/>
      </fieldsUsage>
    </cacheHierarchy>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fieldsUsage count="2">
        <fieldUsage x="-1"/>
        <fieldUsage x="2"/>
      </fieldsUsage>
    </cacheHierarchy>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9086574076" createdVersion="8" refreshedVersion="8" minRefreshableVersion="3" recordCount="0" supportSubquery="1" supportAdvancedDrill="1" xr:uid="{6617AD48-E6AC-41BE-8F73-E801B8408FEB}">
  <cacheSource type="external" connectionId="2"/>
  <cacheFields count="6">
    <cacheField name="[Sheet1].[Product].[Product]" caption="Product" numFmtId="0" hierarchy="3" level="1">
      <sharedItems count="15">
        <s v="Bread"/>
        <s v="Chair"/>
        <s v="Fiction"/>
        <s v="Fruits"/>
        <s v="Headphones"/>
        <s v="History"/>
        <s v="Jacket"/>
        <s v="Laptop"/>
        <s v="Milk"/>
        <s v="Pants"/>
        <s v="Science"/>
        <s v="Shirt"/>
        <s v="Smartphone"/>
        <s v="Sofa"/>
        <s v="Table"/>
      </sharedItems>
    </cacheField>
    <cacheField name="[Measures].[Sum of Sales]" caption="Sum of Sales" numFmtId="0" hierarchy="25" level="32767"/>
    <cacheField name="[Measures].[Total Cost]" caption="Total Cost" numFmtId="0" hierarchy="18" level="32767"/>
    <cacheField name="[Measures].[Total Profit]" caption="Total Profit" numFmtId="0" hierarchy="19" level="32767"/>
    <cacheField name="[Sheet1].[Date].[Date]" caption="Date" numFmtId="0" hierarchy="4" level="1">
      <sharedItems containsSemiMixedTypes="0" containsNonDate="0" containsString="0"/>
    </cacheField>
    <cacheField name="[Sheet1].[Region].[Region]" caption="Region" numFmtId="0" hierarchy="1" level="1">
      <sharedItems containsSemiMixedTypes="0" containsNonDate="0" containsString="0"/>
    </cacheField>
  </cacheFields>
  <cacheHierarchies count="27">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fieldsUsage count="2">
        <fieldUsage x="-1"/>
        <fieldUsage x="5"/>
      </fieldsUsage>
    </cacheHierarchy>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Date]" caption="Date" attribute="1" time="1" defaultMemberUniqueName="[Sheet1].[Date].[All]" allUniqueName="[Sheet1].[Date].[All]" dimensionUniqueName="[Sheet1]" displayFolder="" count="2" memberValueDatatype="7" unbalanced="0">
      <fieldsUsage count="2">
        <fieldUsage x="-1"/>
        <fieldUsage x="4"/>
      </fieldsUsage>
    </cacheHierarchy>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Total Cost]" caption="Total Cost" measure="1" displayFolder="" measureGroup="Sheet1" count="0" oneField="1">
      <fieldsUsage count="1">
        <fieldUsage x="2"/>
      </fieldsUsage>
    </cacheHierarchy>
    <cacheHierarchy uniqueName="[Measures].[Total Profit]" caption="Total Profit" measure="1" displayFolder="" measureGroup="Sheet1" count="0" oneField="1">
      <fieldsUsage count="1">
        <fieldUsage x="3"/>
      </fieldsUsage>
    </cacheHierarchy>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y uniqueName="[Measures].[Sum of Sales]" caption="Sum of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arget Sales %]" caption="Sum of Target Sales %" measure="1" displayFolder="" measureGroup="Sheet1" count="0" hidden="1">
      <extLst>
        <ext xmlns:x15="http://schemas.microsoft.com/office/spreadsheetml/2010/11/main" uri="{B97F6D7D-B522-45F9-BDA1-12C45D357490}">
          <x15:cacheHierarchy aggregatedColumn="16"/>
        </ext>
      </extLst>
    </cacheHierarchy>
  </cacheHierarchies>
  <kpis count="1">
    <kpi uniqueName="TotalSales" caption="TotalSales" displayFolder="" measureGroup="Sheet1" parent="" value="[Measures].[TotalSales]" goal="[Measures].[_TotalSales Goal]" status="[Measures].[_TotalSales Status]" trend="" weight=""/>
  </kpis>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3646527778" createdVersion="3" refreshedVersion="8" minRefreshableVersion="3" recordCount="0" supportSubquery="1" supportAdvancedDrill="1" xr:uid="{C0FA1B4C-8A2D-4C35-BDC9-521FC820055A}">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2"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 caption="Sum of Sales" measure="1" displayFolder="" measureGroup="Sheet1" count="0">
      <extLst>
        <ext xmlns:x15="http://schemas.microsoft.com/office/spreadsheetml/2010/11/main" uri="{B97F6D7D-B522-45F9-BDA1-12C45D357490}">
          <x15:cacheHierarchy aggregatedColumn="8"/>
        </ext>
      </extLst>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slicerData="1" pivotCacheId="95492743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refreshedDate="46065.453647337963" createdVersion="3" refreshedVersion="8" minRefreshableVersion="3" recordCount="0" supportSubquery="1" supportAdvancedDrill="1" xr:uid="{5EDD0250-EFEC-46A8-AC3A-A5F44DE68872}">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Sheet1].[SaleID]" caption="SaleID" attribute="1" defaultMemberUniqueName="[Sheet1].[SaleID].[All]" allUniqueName="[Sheet1].[SaleID].[All]" dimensionUniqueName="[Sheet1]" displayFolder="" count="0" memberValueDatatype="5" unbalanced="0"/>
    <cacheHierarchy uniqueName="[Sheet1].[Region]" caption="Region" attribute="1" defaultMemberUniqueName="[Sheet1].[Region].[All]" allUniqueName="[Sheet1].[Region].[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Date]" caption="Date" attribute="1" time="1" defaultMemberUniqueName="[Sheet1].[Date].[All]" allUniqueName="[Sheet1].[Date].[All]" dimensionUniqueName="[Sheet1]" displayFolder="" count="2" memberValueDatatype="7" unbalanced="0"/>
    <cacheHierarchy uniqueName="[Sheet1].[Datehierarchy]" caption="Datehierarchy" defaultMemberUniqueName="[Sheet1].[Datehierarchy].[All]" allUniqueName="[Sheet1].[Datehierarchy].[All]" dimensionUniqueName="[Sheet1]" displayFolder="" count="0" unbalanced="0"/>
    <cacheHierarchy uniqueName="[Sheet1].[Quantity]" caption="Quantity" attribute="1" defaultMemberUniqueName="[Sheet1].[Quantity].[All]" allUniqueName="[Sheet1].[Quantity].[All]" dimensionUniqueName="[Sheet1]" displayFolder="" count="0" memberValueDatatype="5" unbalanced="0"/>
    <cacheHierarchy uniqueName="[Sheet1].[UnitPrice]" caption="UnitPrice" attribute="1" defaultMemberUniqueName="[Sheet1].[UnitPrice].[All]" allUniqueName="[Sheet1].[UnitPrice].[All]" dimensionUniqueName="[Sheet1]" displayFolder="" count="0" memberValueDatatype="5" unbalanced="0"/>
    <cacheHierarchy uniqueName="[Sheet1].[Sales]" caption="Sales" attribute="1" defaultMemberUniqueName="[Sheet1].[Sales].[All]" allUniqueName="[Sheet1].[Sales].[All]" dimensionUniqueName="[Sheet1]" displayFolder="" count="0" memberValueDatatype="5" unbalanced="0"/>
    <cacheHierarchy uniqueName="[Sheet1].[Target]" caption="Target" attribute="1" defaultMemberUniqueName="[Sheet1].[Target].[All]" allUniqueName="[Sheet1].[Target].[All]" dimensionUniqueName="[Sheet1]" displayFolder="" count="0" memberValueDatatype="5" unbalanced="0"/>
    <cacheHierarchy uniqueName="[Sheet1].[Year]" caption="Year" attribute="1" defaultMemberUniqueName="[Sheet1].[Year].[All]" allUniqueName="[Sheet1].[Year].[All]" dimensionUniqueName="[Sheet1]" displayFolder="" count="0" memberValueDatatype="5" unbalanced="0"/>
    <cacheHierarchy uniqueName="[Sheet1].[Quarter]" caption="Quarter" attribute="1" defaultMemberUniqueName="[Sheet1].[Quarter].[All]" allUniqueName="[Sheet1].[Quarter].[All]" dimensionUniqueName="[Sheet1]" displayFolder="" count="0" memberValueDatatype="130" unbalanced="0"/>
    <cacheHierarchy uniqueName="[Sheet1].[Month]" caption="Month" attribute="1" defaultMemberUniqueName="[Sheet1].[Month].[All]" allUniqueName="[Sheet1].[Month].[All]" dimensionUniqueName="[Sheet1]" displayFolder="" count="0" memberValueDatatype="130"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Target Sales %]" caption="Target Sales %" attribute="1" defaultMemberUniqueName="[Sheet1].[Target Sales %].[All]" allUniqueName="[Sheet1].[Target Sales %].[All]" dimensionUniqueName="[Sheet1]" displayFolder="" count="0" memberValueDatatype="5"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Sum of Sales]" caption="Sum of Sales" measure="1" displayFolder="" measureGroup="Sheet1" count="0">
      <extLst>
        <ext xmlns:x15="http://schemas.microsoft.com/office/spreadsheetml/2010/11/main" uri="{B97F6D7D-B522-45F9-BDA1-12C45D357490}">
          <x15:cacheHierarchy aggregatedColumn="8"/>
        </ext>
      </extLst>
    </cacheHierarchy>
    <cacheHierarchy uniqueName="[Measures].[Total Cost]" caption="Total Cost" measure="1" displayFolder="" measureGroup="Sheet1" count="0"/>
    <cacheHierarchy uniqueName="[Measures].[Total Profit]" caption="Total Profit" measure="1" displayFolder="" measureGroup="Sheet1" count="0"/>
    <cacheHierarchy uniqueName="[Measures].[TotalSales]" caption="TotalSales"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_TotalSales Goal]" caption="_TotalSales Goal" measure="1" displayFolder="" measureGroup="Sheet1" count="0" hidden="1"/>
    <cacheHierarchy uniqueName="[Measures].[_TotalSales Status]" caption="_TotalSales Status" measure="1" iconSet="11" displayFolder="" measureGroup="Sheet1" count="0" hidden="1"/>
  </cacheHierarchies>
  <kpis count="1">
    <kpi uniqueName="TotalSales" caption="TotalSales" displayFolder="" measureGroup="Sheet1" parent="" value="[Measures].[TotalSales]" goal="[Measures].[_TotalSales Goal]" status="[Measures].[_TotalSales Status]" trend="" weight=""/>
  </kpis>
  <extLst>
    <ext xmlns:x14="http://schemas.microsoft.com/office/spreadsheetml/2009/9/main" uri="{725AE2AE-9491-48be-B2B4-4EB974FC3084}">
      <x14:pivotCacheDefinition pivotCacheId="2848910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DB8CA-49F0-487C-9D2B-01EF47EF8B55}" name="PivotTable1" cacheId="2" applyNumberFormats="0" applyBorderFormats="0" applyFontFormats="0" applyPatternFormats="0" applyAlignmentFormats="0" applyWidthHeightFormats="1" dataCaption="Values" tag="61bf080a-0eb6-4e55-98cf-2d2be980684e" updatedVersion="8" minRefreshableVersion="5" useAutoFormatting="1" itemPrintTitles="1" createdVersion="5" indent="0" outline="1" outlineData="1" multipleFieldFilters="0" chartFormat="5">
  <location ref="B3:C5"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BDA1B7-B66C-49D8-806D-98623993589D}"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2:C24"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Sales" fld="1"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3"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26D81-02C4-4C1E-B1E6-881FF4AC9C58}" name="PivotTable4" cacheId="6" applyNumberFormats="0" applyBorderFormats="0" applyFontFormats="0" applyPatternFormats="0" applyAlignmentFormats="0" applyWidthHeightFormats="1" dataCaption="Values" tag="aacf0b60-064c-417c-8477-dd1e2f0853ea" updatedVersion="8" minRefreshableVersion="5" useAutoFormatting="1" itemPrintTitles="1" createdVersion="8" indent="0" outline="1" outlineData="1" multipleFieldFilters="0" chartFormat="20">
  <location ref="E13:H29" firstHeaderRow="0" firstDataRow="1" firstDataCol="1"/>
  <pivotFields count="6">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Sales" fld="1"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s>
  <pivotHierarchies count="28">
    <pivotHierarchy dragToData="1"/>
    <pivotHierarchy multipleItemSelectionAllowed="1" dragToData="1">
      <members count="1" level="1">
        <member name="[Sheet1].[Region].&amp;[West]"/>
      </members>
    </pivotHierarchy>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4"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384177-4D09-4C86-90F1-42D7D329B3DC}"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13:C1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2"/>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0" format="17">
      <pivotArea type="data" outline="0" fieldPosition="0">
        <references count="2">
          <reference field="4294967294" count="1" selected="0">
            <x v="0"/>
          </reference>
          <reference field="0" count="1" selected="0">
            <x v="4"/>
          </reference>
        </references>
      </pivotArea>
    </chartFormat>
  </chartFormats>
  <pivotHierarchies count="28">
    <pivotHierarchy dragToData="1"/>
    <pivotHierarchy multipleItemSelectionAllowed="1" dragToData="1">
      <members count="1" level="1">
        <member name="[Sheet1].[Region].&amp;[West]"/>
      </members>
    </pivotHierarchy>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35BC83-4ED6-475F-9ED0-ED1552002F36}"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E3:F9" firstHeaderRow="1" firstDataRow="1" firstDataCol="1"/>
  <pivotFields count="6">
    <pivotField axis="axisRow" allDrilled="1" subtotalTop="0" showAll="0" dataSourceSort="1" defaultSubtotal="0">
      <items count="2">
        <item c="1" x="0" d="1"/>
        <item x="1" d="1"/>
      </items>
    </pivotField>
    <pivotField axis="axisRow" subtotalTop="0" showAll="0" dataSourceSort="1" defaultSubtotal="0">
      <items count="4">
        <item c="1" x="0"/>
        <item c="1" x="1"/>
        <item c="1" x="2"/>
        <item c="1" x="3"/>
      </items>
    </pivotField>
    <pivotField axis="axisRow" subtotalTop="0" showAll="0" dataSourceSort="1"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6">
    <i>
      <x/>
    </i>
    <i r="1">
      <x/>
    </i>
    <i r="1">
      <x v="1"/>
    </i>
    <i r="1">
      <x v="2"/>
    </i>
    <i r="1">
      <x v="3"/>
    </i>
    <i t="grand">
      <x/>
    </i>
  </rowItems>
  <colItems count="1">
    <i/>
  </colItems>
  <dataFields count="1">
    <dataField name="Sum of Sales" fld="3" baseField="0" baseItem="0"/>
  </dataFields>
  <chartFormats count="4">
    <chartFormat chart="12"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members count="1" level="1">
        <member name="[Sheet1].[Region].&amp;[West]"/>
      </members>
    </pivotHierarchy>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4"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783D22-F150-4C00-B692-84D4D11AEE9C}" name="PivotTable1" cacheId="1" applyNumberFormats="0" applyBorderFormats="0" applyFontFormats="0" applyPatternFormats="0" applyAlignmentFormats="0" applyWidthHeightFormats="1" dataCaption="Values" tag="cc74b77a-d234-4567-a00e-187d7ace584f" updatedVersion="8" minRefreshableVersion="5" useAutoFormatting="1" itemPrintTitles="1" createdVersion="5" indent="0" outline="1" outlineData="1" multipleFieldFilters="0" chartFormat="6" rowHeaderCaption="Region">
  <location ref="B3:C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Medium9" showRowHeaders="1" showColHeaders="1" showRowStripes="0" showColStripes="0" showLastColumn="1"/>
  <filters count="1">
    <filter fld="2" type="dateBetween" evalOrder="-1" id="16" name="[Sheet1].[Date]">
      <autoFilter ref="A1">
        <filterColumn colId="0">
          <customFilters and="1">
            <customFilter operator="greaterThanOrEqual" val="44927"/>
            <customFilter operator="lessThanOrEqual" val="453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674A9D-5E44-4F94-9725-891BBC9A95B9}" name="PivotTable1" cacheId="0" applyNumberFormats="0" applyBorderFormats="0" applyFontFormats="0" applyPatternFormats="0" applyAlignmentFormats="0" applyWidthHeightFormats="1" dataCaption="Values" tag="9eec32cd-7bf7-4160-9c04-443e6354c984" updatedVersion="8" minRefreshableVersion="3" useAutoFormatting="1" itemPrintTitles="1" createdVersion="5" indent="0" outline="1" outlineData="1" multipleFieldFilters="0" rowHeaderCaption="Date">
  <location ref="B3:D167" firstHeaderRow="0" firstDataRow="1" firstDataCol="1"/>
  <pivotFields count="3">
    <pivotField axis="axisRow" allDrilled="1" subtotalTop="0" showAll="0" dataSourceSort="1" defaultSubtotal="0" defaultAttributeDrillState="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pivotField>
    <pivotField dataField="1" subtotalTop="0" showAll="0" defaultSubtotal="0"/>
    <pivotField dataField="1" subtotalTop="0" showAll="0" defaultSubtotal="0"/>
  </pivotFields>
  <rowFields count="1">
    <field x="0"/>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Fields count="1">
    <field x="-2"/>
  </colFields>
  <colItems count="2">
    <i>
      <x/>
    </i>
    <i i="1">
      <x v="1"/>
    </i>
  </colItems>
  <dataFields count="2">
    <dataField name="Sum of Sales" fld="2" baseField="0" baseItem="0"/>
    <dataField name="TotalSales Status" fld="1" subtotal="count" baseField="0" baseItem="0"/>
  </dataFields>
  <formats count="4">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28">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003370-950D-4C9A-8C75-CCAAB319BA54}" sourceName="[Sheet1].[Region]">
  <pivotTables>
    <pivotTable tabId="2" name="PivotTable1"/>
    <pivotTable tabId="3" name="PivotTable1"/>
    <pivotTable tabId="3" name="PivotTable5"/>
    <pivotTable tabId="3" name="PivotTable2"/>
    <pivotTable tabId="3" name="PivotTable3"/>
    <pivotTable tabId="3" name="PivotTable4"/>
  </pivotTables>
  <data>
    <olap pivotCacheId="954927432">
      <levels count="2">
        <level uniqueName="[Sheet1].[Region].[(All)]" sourceCaption="(All)" count="0"/>
        <level uniqueName="[Sheet1].[Region].[Region]" sourceCaption="Region" count="4">
          <ranges>
            <range startItem="0">
              <i n="[Sheet1].[Region].&amp;[East]" c="East"/>
              <i n="[Sheet1].[Region].&amp;[North]" c="North"/>
              <i n="[Sheet1].[Region].&amp;[South]" c="South"/>
              <i n="[Sheet1].[Region].&amp;[West]" c="West"/>
            </range>
          </ranges>
        </level>
      </levels>
      <selections count="1">
        <selection n="[Sheet1].[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C9B236-3B52-42AE-B80B-28DBD0E094B7}" cache="Slicer_Region" caption="Region" columnCount="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47A89C62-11F8-455B-95E1-FE7E58BD1648}" sourceName="[Sheet1].[Date]">
  <pivotTables>
    <pivotTable tabId="3" name="PivotTable4"/>
    <pivotTable tabId="3" name="PivotTable1"/>
    <pivotTable tabId="3" name="PivotTable2"/>
    <pivotTable tabId="3" name="PivotTable3"/>
    <pivotTable tabId="3" name="PivotTable5"/>
    <pivotTable tabId="2" name="PivotTable1"/>
  </pivotTables>
  <state minimalRefreshVersion="6" lastRefreshVersion="6" pivotCacheId="284891082" filterType="dateBetween">
    <selection startDate="2023-01-01T00:00:00" endDate="2024-01-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004A283-D456-4C3B-8D61-1369FE7F96EF}" cache="Timeline_Date" caption="Date" level="2" selectionLevel="2" scrollPosition="2023-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384CF-7538-4E88-B11D-653D796D8D2A}">
  <dimension ref="A1:N201"/>
  <sheetViews>
    <sheetView tabSelected="1" workbookViewId="0">
      <selection activeCell="Q10" sqref="Q10"/>
    </sheetView>
  </sheetViews>
  <sheetFormatPr defaultRowHeight="14.4" x14ac:dyDescent="0.3"/>
  <cols>
    <col min="14" max="14" width="0" hidden="1" customWidth="1"/>
  </cols>
  <sheetData>
    <row r="1" spans="1:14" x14ac:dyDescent="0.3">
      <c r="A1" s="8" t="s">
        <v>33</v>
      </c>
      <c r="B1" s="8" t="s">
        <v>3</v>
      </c>
      <c r="C1" s="8" t="s">
        <v>34</v>
      </c>
      <c r="D1" s="8" t="s">
        <v>35</v>
      </c>
      <c r="E1" s="8" t="s">
        <v>32</v>
      </c>
      <c r="F1" s="8" t="s">
        <v>36</v>
      </c>
      <c r="G1" s="8" t="s">
        <v>37</v>
      </c>
      <c r="H1" s="8" t="s">
        <v>38</v>
      </c>
      <c r="I1" s="8" t="s">
        <v>39</v>
      </c>
      <c r="J1" s="8" t="s">
        <v>40</v>
      </c>
      <c r="K1" s="8" t="s">
        <v>41</v>
      </c>
      <c r="L1" s="8" t="s">
        <v>42</v>
      </c>
      <c r="M1" s="9" t="s">
        <v>43</v>
      </c>
      <c r="N1" s="10" t="s">
        <v>44</v>
      </c>
    </row>
    <row r="2" spans="1:14" x14ac:dyDescent="0.3">
      <c r="A2">
        <v>1</v>
      </c>
      <c r="B2" t="s">
        <v>45</v>
      </c>
      <c r="C2" t="s">
        <v>12</v>
      </c>
      <c r="D2" t="s">
        <v>22</v>
      </c>
      <c r="E2" s="11">
        <v>45052</v>
      </c>
      <c r="F2">
        <v>4</v>
      </c>
      <c r="G2">
        <v>242</v>
      </c>
      <c r="H2">
        <v>195</v>
      </c>
      <c r="I2">
        <v>1000</v>
      </c>
      <c r="J2">
        <v>2023</v>
      </c>
      <c r="K2" t="s">
        <v>7</v>
      </c>
      <c r="L2" t="s">
        <v>46</v>
      </c>
      <c r="M2" s="12" t="str">
        <f>IF(H2&gt;=I2,"☑","☐")</f>
        <v>☐</v>
      </c>
      <c r="N2" t="b">
        <f>IF(H2&gt;=I2,TRUE,FALSE)</f>
        <v>0</v>
      </c>
    </row>
    <row r="3" spans="1:14" x14ac:dyDescent="0.3">
      <c r="A3">
        <v>2</v>
      </c>
      <c r="B3" t="s">
        <v>1</v>
      </c>
      <c r="C3" t="s">
        <v>10</v>
      </c>
      <c r="D3" t="s">
        <v>17</v>
      </c>
      <c r="E3" s="11">
        <v>44943</v>
      </c>
      <c r="F3">
        <v>1</v>
      </c>
      <c r="G3">
        <v>195</v>
      </c>
      <c r="H3">
        <v>195</v>
      </c>
      <c r="I3">
        <v>1500</v>
      </c>
      <c r="J3">
        <v>2023</v>
      </c>
      <c r="K3" t="s">
        <v>6</v>
      </c>
      <c r="L3" t="s">
        <v>47</v>
      </c>
      <c r="M3" s="12" t="str">
        <f t="shared" ref="M3:M66" si="0">IF(H3&gt;=I3,"☑","☐")</f>
        <v>☐</v>
      </c>
      <c r="N3" t="b">
        <f t="shared" ref="N3:N66" si="1">IF(H3&gt;=I3,TRUE,FALSE)</f>
        <v>0</v>
      </c>
    </row>
    <row r="4" spans="1:14" x14ac:dyDescent="0.3">
      <c r="A4">
        <v>3</v>
      </c>
      <c r="B4" t="s">
        <v>48</v>
      </c>
      <c r="C4" t="s">
        <v>14</v>
      </c>
      <c r="D4" t="s">
        <v>28</v>
      </c>
      <c r="E4" s="11">
        <v>45214</v>
      </c>
      <c r="F4">
        <v>4</v>
      </c>
      <c r="G4">
        <v>833</v>
      </c>
      <c r="H4">
        <v>3332</v>
      </c>
      <c r="I4">
        <v>2500</v>
      </c>
      <c r="J4">
        <v>2023</v>
      </c>
      <c r="K4" t="s">
        <v>9</v>
      </c>
      <c r="L4" t="s">
        <v>49</v>
      </c>
      <c r="M4" s="12" t="str">
        <f t="shared" si="0"/>
        <v>☑</v>
      </c>
      <c r="N4" t="b">
        <f t="shared" si="1"/>
        <v>1</v>
      </c>
    </row>
    <row r="5" spans="1:14" x14ac:dyDescent="0.3">
      <c r="A5">
        <v>4</v>
      </c>
      <c r="B5" t="s">
        <v>45</v>
      </c>
      <c r="C5" t="s">
        <v>14</v>
      </c>
      <c r="D5" t="s">
        <v>29</v>
      </c>
      <c r="E5" s="11">
        <v>44930</v>
      </c>
      <c r="F5">
        <v>3</v>
      </c>
      <c r="G5">
        <v>814</v>
      </c>
      <c r="H5">
        <v>2442</v>
      </c>
      <c r="I5">
        <v>2500</v>
      </c>
      <c r="J5">
        <v>2023</v>
      </c>
      <c r="K5" t="s">
        <v>6</v>
      </c>
      <c r="L5" t="s">
        <v>47</v>
      </c>
      <c r="M5" s="12" t="str">
        <f t="shared" si="0"/>
        <v>☐</v>
      </c>
      <c r="N5" t="b">
        <f t="shared" si="1"/>
        <v>0</v>
      </c>
    </row>
    <row r="6" spans="1:14" x14ac:dyDescent="0.3">
      <c r="A6">
        <v>5</v>
      </c>
      <c r="B6" t="s">
        <v>50</v>
      </c>
      <c r="C6" t="s">
        <v>11</v>
      </c>
      <c r="D6" t="s">
        <v>24</v>
      </c>
      <c r="E6" s="11">
        <v>45037</v>
      </c>
      <c r="F6">
        <v>6</v>
      </c>
      <c r="G6">
        <v>204</v>
      </c>
      <c r="H6">
        <v>1224</v>
      </c>
      <c r="I6">
        <v>1000</v>
      </c>
      <c r="J6">
        <v>2023</v>
      </c>
      <c r="K6" t="s">
        <v>7</v>
      </c>
      <c r="L6" t="s">
        <v>51</v>
      </c>
      <c r="M6" s="12" t="str">
        <f t="shared" si="0"/>
        <v>☑</v>
      </c>
      <c r="N6" t="b">
        <f t="shared" si="1"/>
        <v>1</v>
      </c>
    </row>
    <row r="7" spans="1:14" x14ac:dyDescent="0.3">
      <c r="A7">
        <v>6</v>
      </c>
      <c r="B7" t="s">
        <v>45</v>
      </c>
      <c r="C7" t="s">
        <v>13</v>
      </c>
      <c r="D7" t="s">
        <v>15</v>
      </c>
      <c r="E7" s="11">
        <v>45103</v>
      </c>
      <c r="F7">
        <v>10</v>
      </c>
      <c r="G7">
        <v>370</v>
      </c>
      <c r="H7">
        <v>3700</v>
      </c>
      <c r="I7">
        <v>1000</v>
      </c>
      <c r="J7">
        <v>2023</v>
      </c>
      <c r="K7" t="s">
        <v>7</v>
      </c>
      <c r="L7" t="s">
        <v>52</v>
      </c>
      <c r="M7" s="12" t="str">
        <f t="shared" si="0"/>
        <v>☑</v>
      </c>
      <c r="N7" t="b">
        <f t="shared" si="1"/>
        <v>1</v>
      </c>
    </row>
    <row r="8" spans="1:14" x14ac:dyDescent="0.3">
      <c r="A8">
        <v>7</v>
      </c>
      <c r="B8" t="s">
        <v>48</v>
      </c>
      <c r="C8" t="s">
        <v>13</v>
      </c>
      <c r="D8" t="s">
        <v>18</v>
      </c>
      <c r="E8" s="11">
        <v>45120</v>
      </c>
      <c r="F8">
        <v>2</v>
      </c>
      <c r="G8">
        <v>665</v>
      </c>
      <c r="H8">
        <v>1330</v>
      </c>
      <c r="I8">
        <v>2000</v>
      </c>
      <c r="J8">
        <v>2023</v>
      </c>
      <c r="K8" t="s">
        <v>8</v>
      </c>
      <c r="L8" t="s">
        <v>53</v>
      </c>
      <c r="M8" s="12" t="str">
        <f t="shared" si="0"/>
        <v>☐</v>
      </c>
      <c r="N8" t="b">
        <f t="shared" si="1"/>
        <v>0</v>
      </c>
    </row>
    <row r="9" spans="1:14" x14ac:dyDescent="0.3">
      <c r="A9">
        <v>8</v>
      </c>
      <c r="B9" t="s">
        <v>50</v>
      </c>
      <c r="C9" t="s">
        <v>10</v>
      </c>
      <c r="D9" t="s">
        <v>25</v>
      </c>
      <c r="E9" s="11">
        <v>45287</v>
      </c>
      <c r="F9">
        <v>2</v>
      </c>
      <c r="G9">
        <v>146</v>
      </c>
      <c r="H9">
        <v>292</v>
      </c>
      <c r="I9">
        <v>1500</v>
      </c>
      <c r="J9">
        <v>2023</v>
      </c>
      <c r="K9" t="s">
        <v>9</v>
      </c>
      <c r="L9" t="s">
        <v>54</v>
      </c>
      <c r="M9" s="12" t="str">
        <f t="shared" si="0"/>
        <v>☐</v>
      </c>
      <c r="N9" t="b">
        <f t="shared" si="1"/>
        <v>0</v>
      </c>
    </row>
    <row r="10" spans="1:14" x14ac:dyDescent="0.3">
      <c r="A10">
        <v>9</v>
      </c>
      <c r="B10" t="s">
        <v>50</v>
      </c>
      <c r="C10" t="s">
        <v>11</v>
      </c>
      <c r="D10" t="s">
        <v>26</v>
      </c>
      <c r="E10" s="11">
        <v>44978</v>
      </c>
      <c r="F10">
        <v>7</v>
      </c>
      <c r="G10">
        <v>384</v>
      </c>
      <c r="H10">
        <v>2688</v>
      </c>
      <c r="I10">
        <v>2500</v>
      </c>
      <c r="J10">
        <v>2023</v>
      </c>
      <c r="K10" t="s">
        <v>6</v>
      </c>
      <c r="L10" t="s">
        <v>55</v>
      </c>
      <c r="M10" s="12" t="str">
        <f t="shared" si="0"/>
        <v>☑</v>
      </c>
      <c r="N10" t="b">
        <f t="shared" si="1"/>
        <v>1</v>
      </c>
    </row>
    <row r="11" spans="1:14" x14ac:dyDescent="0.3">
      <c r="A11">
        <v>10</v>
      </c>
      <c r="B11" t="s">
        <v>45</v>
      </c>
      <c r="C11" t="s">
        <v>11</v>
      </c>
      <c r="D11" t="s">
        <v>26</v>
      </c>
      <c r="E11" s="11">
        <v>45108</v>
      </c>
      <c r="F11">
        <v>4</v>
      </c>
      <c r="G11">
        <v>786</v>
      </c>
      <c r="H11">
        <v>3144</v>
      </c>
      <c r="I11">
        <v>2000</v>
      </c>
      <c r="J11">
        <v>2023</v>
      </c>
      <c r="K11" t="s">
        <v>8</v>
      </c>
      <c r="L11" t="s">
        <v>53</v>
      </c>
      <c r="M11" s="12" t="str">
        <f t="shared" si="0"/>
        <v>☑</v>
      </c>
      <c r="N11" t="b">
        <f t="shared" si="1"/>
        <v>1</v>
      </c>
    </row>
    <row r="12" spans="1:14" x14ac:dyDescent="0.3">
      <c r="A12">
        <v>11</v>
      </c>
      <c r="B12" t="s">
        <v>50</v>
      </c>
      <c r="C12" t="s">
        <v>12</v>
      </c>
      <c r="D12" t="s">
        <v>19</v>
      </c>
      <c r="E12" s="11">
        <v>45200</v>
      </c>
      <c r="F12">
        <v>4</v>
      </c>
      <c r="G12">
        <v>267</v>
      </c>
      <c r="H12">
        <v>1068</v>
      </c>
      <c r="I12">
        <v>2500</v>
      </c>
      <c r="J12">
        <v>2023</v>
      </c>
      <c r="K12" t="s">
        <v>9</v>
      </c>
      <c r="L12" t="s">
        <v>49</v>
      </c>
      <c r="M12" s="12" t="str">
        <f t="shared" si="0"/>
        <v>☐</v>
      </c>
      <c r="N12" t="b">
        <f t="shared" si="1"/>
        <v>0</v>
      </c>
    </row>
    <row r="13" spans="1:14" x14ac:dyDescent="0.3">
      <c r="A13">
        <v>12</v>
      </c>
      <c r="B13" t="s">
        <v>50</v>
      </c>
      <c r="C13" t="s">
        <v>13</v>
      </c>
      <c r="D13" t="s">
        <v>23</v>
      </c>
      <c r="E13" s="11">
        <v>45277</v>
      </c>
      <c r="F13">
        <v>6</v>
      </c>
      <c r="G13">
        <v>963</v>
      </c>
      <c r="H13">
        <v>5778</v>
      </c>
      <c r="I13">
        <v>1000</v>
      </c>
      <c r="J13">
        <v>2023</v>
      </c>
      <c r="K13" t="s">
        <v>9</v>
      </c>
      <c r="L13" t="s">
        <v>54</v>
      </c>
      <c r="M13" s="12" t="str">
        <f t="shared" si="0"/>
        <v>☑</v>
      </c>
      <c r="N13" t="b">
        <f t="shared" si="1"/>
        <v>1</v>
      </c>
    </row>
    <row r="14" spans="1:14" x14ac:dyDescent="0.3">
      <c r="A14">
        <v>13</v>
      </c>
      <c r="B14" t="s">
        <v>45</v>
      </c>
      <c r="C14" t="s">
        <v>14</v>
      </c>
      <c r="D14" t="s">
        <v>16</v>
      </c>
      <c r="E14" s="11">
        <v>45132</v>
      </c>
      <c r="F14">
        <v>5</v>
      </c>
      <c r="G14">
        <v>167</v>
      </c>
      <c r="H14">
        <v>835</v>
      </c>
      <c r="I14">
        <v>1500</v>
      </c>
      <c r="J14">
        <v>2023</v>
      </c>
      <c r="K14" t="s">
        <v>8</v>
      </c>
      <c r="L14" t="s">
        <v>53</v>
      </c>
      <c r="M14" s="12" t="str">
        <f t="shared" si="0"/>
        <v>☐</v>
      </c>
      <c r="N14" t="b">
        <f t="shared" si="1"/>
        <v>0</v>
      </c>
    </row>
    <row r="15" spans="1:14" x14ac:dyDescent="0.3">
      <c r="A15">
        <v>14</v>
      </c>
      <c r="B15" t="s">
        <v>45</v>
      </c>
      <c r="C15" t="s">
        <v>10</v>
      </c>
      <c r="D15" t="s">
        <v>20</v>
      </c>
      <c r="E15" s="11">
        <v>45035</v>
      </c>
      <c r="F15">
        <v>8</v>
      </c>
      <c r="G15">
        <v>505</v>
      </c>
      <c r="H15">
        <v>4040</v>
      </c>
      <c r="I15">
        <v>2500</v>
      </c>
      <c r="J15">
        <v>2023</v>
      </c>
      <c r="K15" t="s">
        <v>7</v>
      </c>
      <c r="L15" t="s">
        <v>51</v>
      </c>
      <c r="M15" s="12" t="str">
        <f t="shared" si="0"/>
        <v>☑</v>
      </c>
      <c r="N15" t="b">
        <f t="shared" si="1"/>
        <v>1</v>
      </c>
    </row>
    <row r="16" spans="1:14" x14ac:dyDescent="0.3">
      <c r="A16">
        <v>15</v>
      </c>
      <c r="B16" t="s">
        <v>50</v>
      </c>
      <c r="C16" t="s">
        <v>14</v>
      </c>
      <c r="D16" t="s">
        <v>29</v>
      </c>
      <c r="E16" s="11">
        <v>45053</v>
      </c>
      <c r="F16">
        <v>9</v>
      </c>
      <c r="G16">
        <v>651</v>
      </c>
      <c r="H16">
        <v>5859</v>
      </c>
      <c r="I16">
        <v>2000</v>
      </c>
      <c r="J16">
        <v>2023</v>
      </c>
      <c r="K16" t="s">
        <v>7</v>
      </c>
      <c r="L16" t="s">
        <v>46</v>
      </c>
      <c r="M16" s="12" t="str">
        <f t="shared" si="0"/>
        <v>☑</v>
      </c>
      <c r="N16" t="b">
        <f t="shared" si="1"/>
        <v>1</v>
      </c>
    </row>
    <row r="17" spans="1:14" x14ac:dyDescent="0.3">
      <c r="A17">
        <v>16</v>
      </c>
      <c r="B17" t="s">
        <v>1</v>
      </c>
      <c r="C17" t="s">
        <v>10</v>
      </c>
      <c r="D17" t="s">
        <v>25</v>
      </c>
      <c r="E17" s="11">
        <v>45112</v>
      </c>
      <c r="F17">
        <v>4</v>
      </c>
      <c r="G17">
        <v>241</v>
      </c>
      <c r="H17">
        <v>964</v>
      </c>
      <c r="I17">
        <v>2500</v>
      </c>
      <c r="J17">
        <v>2023</v>
      </c>
      <c r="K17" t="s">
        <v>8</v>
      </c>
      <c r="L17" t="s">
        <v>53</v>
      </c>
      <c r="M17" s="12" t="str">
        <f t="shared" si="0"/>
        <v>☐</v>
      </c>
      <c r="N17" t="b">
        <f t="shared" si="1"/>
        <v>0</v>
      </c>
    </row>
    <row r="18" spans="1:14" x14ac:dyDescent="0.3">
      <c r="A18">
        <v>17</v>
      </c>
      <c r="B18" t="s">
        <v>48</v>
      </c>
      <c r="C18" t="s">
        <v>12</v>
      </c>
      <c r="D18" t="s">
        <v>22</v>
      </c>
      <c r="E18" s="11">
        <v>45005</v>
      </c>
      <c r="F18">
        <v>3</v>
      </c>
      <c r="G18">
        <v>911</v>
      </c>
      <c r="H18">
        <v>2733</v>
      </c>
      <c r="I18">
        <v>2500</v>
      </c>
      <c r="J18">
        <v>2023</v>
      </c>
      <c r="K18" t="s">
        <v>6</v>
      </c>
      <c r="L18" t="s">
        <v>56</v>
      </c>
      <c r="M18" s="12" t="str">
        <f t="shared" si="0"/>
        <v>☑</v>
      </c>
      <c r="N18" t="b">
        <f t="shared" si="1"/>
        <v>1</v>
      </c>
    </row>
    <row r="19" spans="1:14" x14ac:dyDescent="0.3">
      <c r="A19">
        <v>18</v>
      </c>
      <c r="B19" t="s">
        <v>1</v>
      </c>
      <c r="C19" t="s">
        <v>10</v>
      </c>
      <c r="D19" t="s">
        <v>17</v>
      </c>
      <c r="E19" s="11">
        <v>45122</v>
      </c>
      <c r="F19">
        <v>10</v>
      </c>
      <c r="G19">
        <v>579</v>
      </c>
      <c r="H19">
        <v>5790</v>
      </c>
      <c r="I19">
        <v>2000</v>
      </c>
      <c r="J19">
        <v>2023</v>
      </c>
      <c r="K19" t="s">
        <v>8</v>
      </c>
      <c r="L19" t="s">
        <v>53</v>
      </c>
      <c r="M19" s="12" t="str">
        <f t="shared" si="0"/>
        <v>☑</v>
      </c>
      <c r="N19" t="b">
        <f t="shared" si="1"/>
        <v>1</v>
      </c>
    </row>
    <row r="20" spans="1:14" x14ac:dyDescent="0.3">
      <c r="A20">
        <v>19</v>
      </c>
      <c r="B20" t="s">
        <v>48</v>
      </c>
      <c r="C20" t="s">
        <v>10</v>
      </c>
      <c r="D20" t="s">
        <v>17</v>
      </c>
      <c r="E20" s="11">
        <v>45276</v>
      </c>
      <c r="F20">
        <v>9</v>
      </c>
      <c r="G20">
        <v>868</v>
      </c>
      <c r="H20">
        <v>7812</v>
      </c>
      <c r="I20">
        <v>2000</v>
      </c>
      <c r="J20">
        <v>2023</v>
      </c>
      <c r="K20" t="s">
        <v>9</v>
      </c>
      <c r="L20" t="s">
        <v>54</v>
      </c>
      <c r="M20" s="12" t="str">
        <f t="shared" si="0"/>
        <v>☑</v>
      </c>
      <c r="N20" t="b">
        <f t="shared" si="1"/>
        <v>1</v>
      </c>
    </row>
    <row r="21" spans="1:14" x14ac:dyDescent="0.3">
      <c r="A21">
        <v>20</v>
      </c>
      <c r="B21" t="s">
        <v>45</v>
      </c>
      <c r="C21" t="s">
        <v>11</v>
      </c>
      <c r="D21" t="s">
        <v>26</v>
      </c>
      <c r="E21" s="11">
        <v>45149</v>
      </c>
      <c r="F21">
        <v>3</v>
      </c>
      <c r="G21">
        <v>564</v>
      </c>
      <c r="H21">
        <v>1692</v>
      </c>
      <c r="I21">
        <v>1000</v>
      </c>
      <c r="J21">
        <v>2023</v>
      </c>
      <c r="K21" t="s">
        <v>8</v>
      </c>
      <c r="L21" t="s">
        <v>57</v>
      </c>
      <c r="M21" s="12" t="str">
        <f t="shared" si="0"/>
        <v>☑</v>
      </c>
      <c r="N21" t="b">
        <f t="shared" si="1"/>
        <v>1</v>
      </c>
    </row>
    <row r="22" spans="1:14" x14ac:dyDescent="0.3">
      <c r="A22">
        <v>21</v>
      </c>
      <c r="B22" t="s">
        <v>50</v>
      </c>
      <c r="C22" t="s">
        <v>11</v>
      </c>
      <c r="D22" t="s">
        <v>21</v>
      </c>
      <c r="E22" s="11">
        <v>45186</v>
      </c>
      <c r="F22">
        <v>2</v>
      </c>
      <c r="G22">
        <v>991</v>
      </c>
      <c r="H22">
        <v>1982</v>
      </c>
      <c r="I22">
        <v>2000</v>
      </c>
      <c r="J22">
        <v>2023</v>
      </c>
      <c r="K22" t="s">
        <v>8</v>
      </c>
      <c r="L22" t="s">
        <v>58</v>
      </c>
      <c r="M22" s="12" t="str">
        <f t="shared" si="0"/>
        <v>☐</v>
      </c>
      <c r="N22" t="b">
        <f t="shared" si="1"/>
        <v>0</v>
      </c>
    </row>
    <row r="23" spans="1:14" x14ac:dyDescent="0.3">
      <c r="A23">
        <v>22</v>
      </c>
      <c r="B23" t="s">
        <v>50</v>
      </c>
      <c r="C23" t="s">
        <v>10</v>
      </c>
      <c r="D23" t="s">
        <v>20</v>
      </c>
      <c r="E23" s="11">
        <v>45005</v>
      </c>
      <c r="F23">
        <v>6</v>
      </c>
      <c r="G23">
        <v>880</v>
      </c>
      <c r="H23">
        <v>5280</v>
      </c>
      <c r="I23">
        <v>1500</v>
      </c>
      <c r="J23">
        <v>2023</v>
      </c>
      <c r="K23" t="s">
        <v>6</v>
      </c>
      <c r="L23" t="s">
        <v>56</v>
      </c>
      <c r="M23" s="12" t="str">
        <f t="shared" si="0"/>
        <v>☑</v>
      </c>
      <c r="N23" t="b">
        <f t="shared" si="1"/>
        <v>1</v>
      </c>
    </row>
    <row r="24" spans="1:14" x14ac:dyDescent="0.3">
      <c r="A24">
        <v>23</v>
      </c>
      <c r="B24" t="s">
        <v>48</v>
      </c>
      <c r="C24" t="s">
        <v>10</v>
      </c>
      <c r="D24" t="s">
        <v>20</v>
      </c>
      <c r="E24" s="11">
        <v>45233</v>
      </c>
      <c r="F24">
        <v>6</v>
      </c>
      <c r="G24">
        <v>600</v>
      </c>
      <c r="H24">
        <v>3600</v>
      </c>
      <c r="I24">
        <v>1000</v>
      </c>
      <c r="J24">
        <v>2023</v>
      </c>
      <c r="K24" t="s">
        <v>9</v>
      </c>
      <c r="L24" t="s">
        <v>59</v>
      </c>
      <c r="M24" s="12" t="str">
        <f t="shared" si="0"/>
        <v>☑</v>
      </c>
      <c r="N24" t="b">
        <f t="shared" si="1"/>
        <v>1</v>
      </c>
    </row>
    <row r="25" spans="1:14" x14ac:dyDescent="0.3">
      <c r="A25">
        <v>24</v>
      </c>
      <c r="B25" t="s">
        <v>45</v>
      </c>
      <c r="C25" t="s">
        <v>12</v>
      </c>
      <c r="D25" t="s">
        <v>27</v>
      </c>
      <c r="E25" s="11">
        <v>45049</v>
      </c>
      <c r="F25">
        <v>1</v>
      </c>
      <c r="G25">
        <v>346</v>
      </c>
      <c r="H25">
        <v>346</v>
      </c>
      <c r="I25">
        <v>1000</v>
      </c>
      <c r="J25">
        <v>2023</v>
      </c>
      <c r="K25" t="s">
        <v>7</v>
      </c>
      <c r="L25" t="s">
        <v>46</v>
      </c>
      <c r="M25" s="12" t="str">
        <f t="shared" si="0"/>
        <v>☐</v>
      </c>
      <c r="N25" t="b">
        <f t="shared" si="1"/>
        <v>0</v>
      </c>
    </row>
    <row r="26" spans="1:14" x14ac:dyDescent="0.3">
      <c r="A26">
        <v>25</v>
      </c>
      <c r="B26" t="s">
        <v>1</v>
      </c>
      <c r="C26" t="s">
        <v>12</v>
      </c>
      <c r="D26" t="s">
        <v>19</v>
      </c>
      <c r="E26" s="11">
        <v>44962</v>
      </c>
      <c r="F26">
        <v>9</v>
      </c>
      <c r="G26">
        <v>884</v>
      </c>
      <c r="H26">
        <v>7956</v>
      </c>
      <c r="I26">
        <v>1500</v>
      </c>
      <c r="J26">
        <v>2023</v>
      </c>
      <c r="K26" t="s">
        <v>6</v>
      </c>
      <c r="L26" t="s">
        <v>55</v>
      </c>
      <c r="M26" s="12" t="str">
        <f t="shared" si="0"/>
        <v>☑</v>
      </c>
      <c r="N26" t="b">
        <f t="shared" si="1"/>
        <v>1</v>
      </c>
    </row>
    <row r="27" spans="1:14" x14ac:dyDescent="0.3">
      <c r="A27">
        <v>26</v>
      </c>
      <c r="B27" t="s">
        <v>1</v>
      </c>
      <c r="C27" t="s">
        <v>14</v>
      </c>
      <c r="D27" t="s">
        <v>28</v>
      </c>
      <c r="E27" s="11">
        <v>45208</v>
      </c>
      <c r="F27">
        <v>3</v>
      </c>
      <c r="G27">
        <v>371</v>
      </c>
      <c r="H27">
        <v>1113</v>
      </c>
      <c r="I27">
        <v>2500</v>
      </c>
      <c r="J27">
        <v>2023</v>
      </c>
      <c r="K27" t="s">
        <v>9</v>
      </c>
      <c r="L27" t="s">
        <v>49</v>
      </c>
      <c r="M27" s="12" t="str">
        <f t="shared" si="0"/>
        <v>☐</v>
      </c>
      <c r="N27" t="b">
        <f t="shared" si="1"/>
        <v>0</v>
      </c>
    </row>
    <row r="28" spans="1:14" x14ac:dyDescent="0.3">
      <c r="A28">
        <v>27</v>
      </c>
      <c r="B28" t="s">
        <v>50</v>
      </c>
      <c r="C28" t="s">
        <v>14</v>
      </c>
      <c r="D28" t="s">
        <v>28</v>
      </c>
      <c r="E28" s="11">
        <v>45292</v>
      </c>
      <c r="F28">
        <v>5</v>
      </c>
      <c r="G28">
        <v>508</v>
      </c>
      <c r="H28">
        <v>2540</v>
      </c>
      <c r="I28">
        <v>2000</v>
      </c>
      <c r="J28">
        <v>2024</v>
      </c>
      <c r="K28" t="s">
        <v>60</v>
      </c>
      <c r="L28" t="s">
        <v>47</v>
      </c>
      <c r="M28" s="12" t="str">
        <f t="shared" si="0"/>
        <v>☑</v>
      </c>
      <c r="N28" t="b">
        <f t="shared" si="1"/>
        <v>1</v>
      </c>
    </row>
    <row r="29" spans="1:14" x14ac:dyDescent="0.3">
      <c r="A29">
        <v>28</v>
      </c>
      <c r="B29" t="s">
        <v>1</v>
      </c>
      <c r="C29" t="s">
        <v>13</v>
      </c>
      <c r="D29" t="s">
        <v>18</v>
      </c>
      <c r="E29" s="11">
        <v>44988</v>
      </c>
      <c r="F29">
        <v>4</v>
      </c>
      <c r="G29">
        <v>330</v>
      </c>
      <c r="H29">
        <v>1320</v>
      </c>
      <c r="I29">
        <v>1000</v>
      </c>
      <c r="J29">
        <v>2023</v>
      </c>
      <c r="K29" t="s">
        <v>6</v>
      </c>
      <c r="L29" t="s">
        <v>56</v>
      </c>
      <c r="M29" s="12" t="str">
        <f t="shared" si="0"/>
        <v>☑</v>
      </c>
      <c r="N29" t="b">
        <f t="shared" si="1"/>
        <v>1</v>
      </c>
    </row>
    <row r="30" spans="1:14" x14ac:dyDescent="0.3">
      <c r="A30">
        <v>29</v>
      </c>
      <c r="B30" t="s">
        <v>50</v>
      </c>
      <c r="C30" t="s">
        <v>11</v>
      </c>
      <c r="D30" t="s">
        <v>26</v>
      </c>
      <c r="E30" s="11">
        <v>45228</v>
      </c>
      <c r="F30">
        <v>4</v>
      </c>
      <c r="G30">
        <v>107</v>
      </c>
      <c r="H30">
        <v>428</v>
      </c>
      <c r="I30">
        <v>1000</v>
      </c>
      <c r="J30">
        <v>2023</v>
      </c>
      <c r="K30" t="s">
        <v>9</v>
      </c>
      <c r="L30" t="s">
        <v>49</v>
      </c>
      <c r="M30" s="12" t="str">
        <f t="shared" si="0"/>
        <v>☐</v>
      </c>
      <c r="N30" t="b">
        <f t="shared" si="1"/>
        <v>0</v>
      </c>
    </row>
    <row r="31" spans="1:14" x14ac:dyDescent="0.3">
      <c r="A31">
        <v>30</v>
      </c>
      <c r="B31" t="s">
        <v>48</v>
      </c>
      <c r="C31" t="s">
        <v>12</v>
      </c>
      <c r="D31" t="s">
        <v>22</v>
      </c>
      <c r="E31" s="11">
        <v>44943</v>
      </c>
      <c r="F31">
        <v>6</v>
      </c>
      <c r="G31">
        <v>172</v>
      </c>
      <c r="H31">
        <v>1032</v>
      </c>
      <c r="I31">
        <v>1500</v>
      </c>
      <c r="J31">
        <v>2023</v>
      </c>
      <c r="K31" t="s">
        <v>6</v>
      </c>
      <c r="L31" t="s">
        <v>47</v>
      </c>
      <c r="M31" s="12" t="str">
        <f t="shared" si="0"/>
        <v>☐</v>
      </c>
      <c r="N31" t="b">
        <f t="shared" si="1"/>
        <v>0</v>
      </c>
    </row>
    <row r="32" spans="1:14" x14ac:dyDescent="0.3">
      <c r="A32">
        <v>31</v>
      </c>
      <c r="B32" t="s">
        <v>1</v>
      </c>
      <c r="C32" t="s">
        <v>11</v>
      </c>
      <c r="D32" t="s">
        <v>21</v>
      </c>
      <c r="E32" s="11">
        <v>45036</v>
      </c>
      <c r="F32">
        <v>9</v>
      </c>
      <c r="G32">
        <v>235</v>
      </c>
      <c r="H32">
        <v>2115</v>
      </c>
      <c r="I32">
        <v>2500</v>
      </c>
      <c r="J32">
        <v>2023</v>
      </c>
      <c r="K32" t="s">
        <v>7</v>
      </c>
      <c r="L32" t="s">
        <v>51</v>
      </c>
      <c r="M32" s="12" t="str">
        <f t="shared" si="0"/>
        <v>☐</v>
      </c>
      <c r="N32" t="b">
        <f t="shared" si="1"/>
        <v>0</v>
      </c>
    </row>
    <row r="33" spans="1:14" x14ac:dyDescent="0.3">
      <c r="A33">
        <v>32</v>
      </c>
      <c r="B33" t="s">
        <v>1</v>
      </c>
      <c r="C33" t="s">
        <v>14</v>
      </c>
      <c r="D33" t="s">
        <v>29</v>
      </c>
      <c r="E33" s="11">
        <v>45024</v>
      </c>
      <c r="F33">
        <v>2</v>
      </c>
      <c r="G33">
        <v>199</v>
      </c>
      <c r="H33">
        <v>398</v>
      </c>
      <c r="I33">
        <v>2500</v>
      </c>
      <c r="J33">
        <v>2023</v>
      </c>
      <c r="K33" t="s">
        <v>7</v>
      </c>
      <c r="L33" t="s">
        <v>51</v>
      </c>
      <c r="M33" s="12" t="str">
        <f t="shared" si="0"/>
        <v>☐</v>
      </c>
      <c r="N33" t="b">
        <f t="shared" si="1"/>
        <v>0</v>
      </c>
    </row>
    <row r="34" spans="1:14" x14ac:dyDescent="0.3">
      <c r="A34">
        <v>33</v>
      </c>
      <c r="B34" t="s">
        <v>1</v>
      </c>
      <c r="C34" t="s">
        <v>11</v>
      </c>
      <c r="D34" t="s">
        <v>24</v>
      </c>
      <c r="E34" s="11">
        <v>45166</v>
      </c>
      <c r="F34">
        <v>1</v>
      </c>
      <c r="G34">
        <v>789</v>
      </c>
      <c r="H34">
        <v>789</v>
      </c>
      <c r="I34">
        <v>1000</v>
      </c>
      <c r="J34">
        <v>2023</v>
      </c>
      <c r="K34" t="s">
        <v>8</v>
      </c>
      <c r="L34" t="s">
        <v>57</v>
      </c>
      <c r="M34" s="12" t="str">
        <f t="shared" si="0"/>
        <v>☐</v>
      </c>
      <c r="N34" t="b">
        <f t="shared" si="1"/>
        <v>0</v>
      </c>
    </row>
    <row r="35" spans="1:14" x14ac:dyDescent="0.3">
      <c r="A35">
        <v>34</v>
      </c>
      <c r="B35" t="s">
        <v>45</v>
      </c>
      <c r="C35" t="s">
        <v>12</v>
      </c>
      <c r="D35" t="s">
        <v>27</v>
      </c>
      <c r="E35" s="11">
        <v>44982</v>
      </c>
      <c r="F35">
        <v>4</v>
      </c>
      <c r="G35">
        <v>296</v>
      </c>
      <c r="H35">
        <v>1184</v>
      </c>
      <c r="I35">
        <v>1500</v>
      </c>
      <c r="J35">
        <v>2023</v>
      </c>
      <c r="K35" t="s">
        <v>6</v>
      </c>
      <c r="L35" t="s">
        <v>55</v>
      </c>
      <c r="M35" s="12" t="str">
        <f t="shared" si="0"/>
        <v>☐</v>
      </c>
      <c r="N35" t="b">
        <f t="shared" si="1"/>
        <v>0</v>
      </c>
    </row>
    <row r="36" spans="1:14" x14ac:dyDescent="0.3">
      <c r="A36">
        <v>35</v>
      </c>
      <c r="B36" t="s">
        <v>50</v>
      </c>
      <c r="C36" t="s">
        <v>10</v>
      </c>
      <c r="D36" t="s">
        <v>25</v>
      </c>
      <c r="E36" s="11">
        <v>45143</v>
      </c>
      <c r="F36">
        <v>3</v>
      </c>
      <c r="G36">
        <v>385</v>
      </c>
      <c r="H36">
        <v>1155</v>
      </c>
      <c r="I36">
        <v>2500</v>
      </c>
      <c r="J36">
        <v>2023</v>
      </c>
      <c r="K36" t="s">
        <v>8</v>
      </c>
      <c r="L36" t="s">
        <v>57</v>
      </c>
      <c r="M36" s="12" t="str">
        <f t="shared" si="0"/>
        <v>☐</v>
      </c>
      <c r="N36" t="b">
        <f t="shared" si="1"/>
        <v>0</v>
      </c>
    </row>
    <row r="37" spans="1:14" x14ac:dyDescent="0.3">
      <c r="A37">
        <v>36</v>
      </c>
      <c r="B37" t="s">
        <v>1</v>
      </c>
      <c r="C37" t="s">
        <v>14</v>
      </c>
      <c r="D37" t="s">
        <v>16</v>
      </c>
      <c r="E37" s="11">
        <v>45208</v>
      </c>
      <c r="F37">
        <v>2</v>
      </c>
      <c r="G37">
        <v>151</v>
      </c>
      <c r="H37">
        <v>302</v>
      </c>
      <c r="I37">
        <v>1000</v>
      </c>
      <c r="J37">
        <v>2023</v>
      </c>
      <c r="K37" t="s">
        <v>9</v>
      </c>
      <c r="L37" t="s">
        <v>49</v>
      </c>
      <c r="M37" s="12" t="str">
        <f t="shared" si="0"/>
        <v>☐</v>
      </c>
      <c r="N37" t="b">
        <f t="shared" si="1"/>
        <v>0</v>
      </c>
    </row>
    <row r="38" spans="1:14" x14ac:dyDescent="0.3">
      <c r="A38">
        <v>37</v>
      </c>
      <c r="B38" t="s">
        <v>50</v>
      </c>
      <c r="C38" t="s">
        <v>12</v>
      </c>
      <c r="D38" t="s">
        <v>22</v>
      </c>
      <c r="E38" s="11">
        <v>45135</v>
      </c>
      <c r="F38">
        <v>8</v>
      </c>
      <c r="G38">
        <v>592</v>
      </c>
      <c r="H38">
        <v>4736</v>
      </c>
      <c r="I38">
        <v>1500</v>
      </c>
      <c r="J38">
        <v>2023</v>
      </c>
      <c r="K38" t="s">
        <v>8</v>
      </c>
      <c r="L38" t="s">
        <v>53</v>
      </c>
      <c r="M38" s="12" t="str">
        <f t="shared" si="0"/>
        <v>☑</v>
      </c>
      <c r="N38" t="b">
        <f t="shared" si="1"/>
        <v>1</v>
      </c>
    </row>
    <row r="39" spans="1:14" x14ac:dyDescent="0.3">
      <c r="A39">
        <v>38</v>
      </c>
      <c r="B39" t="s">
        <v>50</v>
      </c>
      <c r="C39" t="s">
        <v>13</v>
      </c>
      <c r="D39" t="s">
        <v>15</v>
      </c>
      <c r="E39" s="11">
        <v>45121</v>
      </c>
      <c r="F39">
        <v>1</v>
      </c>
      <c r="G39">
        <v>499</v>
      </c>
      <c r="H39">
        <v>499</v>
      </c>
      <c r="I39">
        <v>2000</v>
      </c>
      <c r="J39">
        <v>2023</v>
      </c>
      <c r="K39" t="s">
        <v>8</v>
      </c>
      <c r="L39" t="s">
        <v>53</v>
      </c>
      <c r="M39" s="12" t="str">
        <f t="shared" si="0"/>
        <v>☐</v>
      </c>
      <c r="N39" t="b">
        <f t="shared" si="1"/>
        <v>0</v>
      </c>
    </row>
    <row r="40" spans="1:14" x14ac:dyDescent="0.3">
      <c r="A40">
        <v>39</v>
      </c>
      <c r="B40" t="s">
        <v>1</v>
      </c>
      <c r="C40" t="s">
        <v>13</v>
      </c>
      <c r="D40" t="s">
        <v>23</v>
      </c>
      <c r="E40" s="11">
        <v>45283</v>
      </c>
      <c r="F40">
        <v>9</v>
      </c>
      <c r="G40">
        <v>777</v>
      </c>
      <c r="H40">
        <v>6993</v>
      </c>
      <c r="I40">
        <v>2500</v>
      </c>
      <c r="J40">
        <v>2023</v>
      </c>
      <c r="K40" t="s">
        <v>9</v>
      </c>
      <c r="L40" t="s">
        <v>54</v>
      </c>
      <c r="M40" s="12" t="str">
        <f t="shared" si="0"/>
        <v>☑</v>
      </c>
      <c r="N40" t="b">
        <f t="shared" si="1"/>
        <v>1</v>
      </c>
    </row>
    <row r="41" spans="1:14" x14ac:dyDescent="0.3">
      <c r="A41">
        <v>40</v>
      </c>
      <c r="B41" t="s">
        <v>45</v>
      </c>
      <c r="C41" t="s">
        <v>14</v>
      </c>
      <c r="D41" t="s">
        <v>16</v>
      </c>
      <c r="E41" s="11">
        <v>45038</v>
      </c>
      <c r="F41">
        <v>1</v>
      </c>
      <c r="G41">
        <v>693</v>
      </c>
      <c r="H41">
        <v>693</v>
      </c>
      <c r="I41">
        <v>1000</v>
      </c>
      <c r="J41">
        <v>2023</v>
      </c>
      <c r="K41" t="s">
        <v>7</v>
      </c>
      <c r="L41" t="s">
        <v>51</v>
      </c>
      <c r="M41" s="12" t="str">
        <f t="shared" si="0"/>
        <v>☐</v>
      </c>
      <c r="N41" t="b">
        <f t="shared" si="1"/>
        <v>0</v>
      </c>
    </row>
    <row r="42" spans="1:14" x14ac:dyDescent="0.3">
      <c r="A42">
        <v>41</v>
      </c>
      <c r="B42" t="s">
        <v>48</v>
      </c>
      <c r="C42" t="s">
        <v>11</v>
      </c>
      <c r="D42" t="s">
        <v>26</v>
      </c>
      <c r="E42" s="11">
        <v>45226</v>
      </c>
      <c r="F42">
        <v>8</v>
      </c>
      <c r="G42">
        <v>614</v>
      </c>
      <c r="H42">
        <v>4912</v>
      </c>
      <c r="I42">
        <v>1500</v>
      </c>
      <c r="J42">
        <v>2023</v>
      </c>
      <c r="K42" t="s">
        <v>9</v>
      </c>
      <c r="L42" t="s">
        <v>49</v>
      </c>
      <c r="M42" s="12" t="str">
        <f t="shared" si="0"/>
        <v>☑</v>
      </c>
      <c r="N42" t="b">
        <f t="shared" si="1"/>
        <v>1</v>
      </c>
    </row>
    <row r="43" spans="1:14" x14ac:dyDescent="0.3">
      <c r="A43">
        <v>42</v>
      </c>
      <c r="B43" t="s">
        <v>48</v>
      </c>
      <c r="C43" t="s">
        <v>12</v>
      </c>
      <c r="D43" t="s">
        <v>19</v>
      </c>
      <c r="E43" s="11">
        <v>45022</v>
      </c>
      <c r="F43">
        <v>2</v>
      </c>
      <c r="G43">
        <v>709</v>
      </c>
      <c r="H43">
        <v>1418</v>
      </c>
      <c r="I43">
        <v>1000</v>
      </c>
      <c r="J43">
        <v>2023</v>
      </c>
      <c r="K43" t="s">
        <v>7</v>
      </c>
      <c r="L43" t="s">
        <v>51</v>
      </c>
      <c r="M43" s="12" t="str">
        <f t="shared" si="0"/>
        <v>☑</v>
      </c>
      <c r="N43" t="b">
        <f t="shared" si="1"/>
        <v>1</v>
      </c>
    </row>
    <row r="44" spans="1:14" x14ac:dyDescent="0.3">
      <c r="A44">
        <v>43</v>
      </c>
      <c r="B44" t="s">
        <v>48</v>
      </c>
      <c r="C44" t="s">
        <v>14</v>
      </c>
      <c r="D44" t="s">
        <v>29</v>
      </c>
      <c r="E44" s="11">
        <v>45218</v>
      </c>
      <c r="F44">
        <v>4</v>
      </c>
      <c r="G44">
        <v>692</v>
      </c>
      <c r="H44">
        <v>2768</v>
      </c>
      <c r="I44">
        <v>1000</v>
      </c>
      <c r="J44">
        <v>2023</v>
      </c>
      <c r="K44" t="s">
        <v>9</v>
      </c>
      <c r="L44" t="s">
        <v>49</v>
      </c>
      <c r="M44" s="12" t="str">
        <f t="shared" si="0"/>
        <v>☑</v>
      </c>
      <c r="N44" t="b">
        <f t="shared" si="1"/>
        <v>1</v>
      </c>
    </row>
    <row r="45" spans="1:14" x14ac:dyDescent="0.3">
      <c r="A45">
        <v>44</v>
      </c>
      <c r="B45" t="s">
        <v>1</v>
      </c>
      <c r="C45" t="s">
        <v>10</v>
      </c>
      <c r="D45" t="s">
        <v>17</v>
      </c>
      <c r="E45" s="11">
        <v>45263</v>
      </c>
      <c r="F45">
        <v>10</v>
      </c>
      <c r="G45">
        <v>678</v>
      </c>
      <c r="H45">
        <v>6780</v>
      </c>
      <c r="I45">
        <v>2000</v>
      </c>
      <c r="J45">
        <v>2023</v>
      </c>
      <c r="K45" t="s">
        <v>9</v>
      </c>
      <c r="L45" t="s">
        <v>54</v>
      </c>
      <c r="M45" s="12" t="str">
        <f t="shared" si="0"/>
        <v>☑</v>
      </c>
      <c r="N45" t="b">
        <f t="shared" si="1"/>
        <v>1</v>
      </c>
    </row>
    <row r="46" spans="1:14" x14ac:dyDescent="0.3">
      <c r="A46">
        <v>45</v>
      </c>
      <c r="B46" t="s">
        <v>45</v>
      </c>
      <c r="C46" t="s">
        <v>11</v>
      </c>
      <c r="D46" t="s">
        <v>26</v>
      </c>
      <c r="E46" s="11">
        <v>45049</v>
      </c>
      <c r="F46">
        <v>5</v>
      </c>
      <c r="G46">
        <v>505</v>
      </c>
      <c r="H46">
        <v>2525</v>
      </c>
      <c r="I46">
        <v>1500</v>
      </c>
      <c r="J46">
        <v>2023</v>
      </c>
      <c r="K46" t="s">
        <v>7</v>
      </c>
      <c r="L46" t="s">
        <v>46</v>
      </c>
      <c r="M46" s="12" t="str">
        <f t="shared" si="0"/>
        <v>☑</v>
      </c>
      <c r="N46" t="b">
        <f t="shared" si="1"/>
        <v>1</v>
      </c>
    </row>
    <row r="47" spans="1:14" x14ac:dyDescent="0.3">
      <c r="A47">
        <v>46</v>
      </c>
      <c r="B47" t="s">
        <v>45</v>
      </c>
      <c r="C47" t="s">
        <v>11</v>
      </c>
      <c r="D47" t="s">
        <v>24</v>
      </c>
      <c r="E47" s="11">
        <v>44964</v>
      </c>
      <c r="F47">
        <v>1</v>
      </c>
      <c r="G47">
        <v>569</v>
      </c>
      <c r="H47">
        <v>569</v>
      </c>
      <c r="I47">
        <v>1000</v>
      </c>
      <c r="J47">
        <v>2023</v>
      </c>
      <c r="K47" t="s">
        <v>6</v>
      </c>
      <c r="L47" t="s">
        <v>55</v>
      </c>
      <c r="M47" s="12" t="str">
        <f t="shared" si="0"/>
        <v>☐</v>
      </c>
      <c r="N47" t="b">
        <f t="shared" si="1"/>
        <v>0</v>
      </c>
    </row>
    <row r="48" spans="1:14" x14ac:dyDescent="0.3">
      <c r="A48">
        <v>47</v>
      </c>
      <c r="B48" t="s">
        <v>50</v>
      </c>
      <c r="C48" t="s">
        <v>12</v>
      </c>
      <c r="D48" t="s">
        <v>19</v>
      </c>
      <c r="E48" s="11">
        <v>45186</v>
      </c>
      <c r="F48">
        <v>5</v>
      </c>
      <c r="G48">
        <v>235</v>
      </c>
      <c r="H48">
        <v>1175</v>
      </c>
      <c r="I48">
        <v>2000</v>
      </c>
      <c r="J48">
        <v>2023</v>
      </c>
      <c r="K48" t="s">
        <v>8</v>
      </c>
      <c r="L48" t="s">
        <v>58</v>
      </c>
      <c r="M48" s="12" t="str">
        <f t="shared" si="0"/>
        <v>☐</v>
      </c>
      <c r="N48" t="b">
        <f t="shared" si="1"/>
        <v>0</v>
      </c>
    </row>
    <row r="49" spans="1:14" x14ac:dyDescent="0.3">
      <c r="A49">
        <v>48</v>
      </c>
      <c r="B49" t="s">
        <v>45</v>
      </c>
      <c r="C49" t="s">
        <v>12</v>
      </c>
      <c r="D49" t="s">
        <v>22</v>
      </c>
      <c r="E49" s="11">
        <v>45072</v>
      </c>
      <c r="F49">
        <v>3</v>
      </c>
      <c r="G49">
        <v>548</v>
      </c>
      <c r="H49">
        <v>1644</v>
      </c>
      <c r="I49">
        <v>2000</v>
      </c>
      <c r="J49">
        <v>2023</v>
      </c>
      <c r="K49" t="s">
        <v>7</v>
      </c>
      <c r="L49" t="s">
        <v>46</v>
      </c>
      <c r="M49" s="12" t="str">
        <f t="shared" si="0"/>
        <v>☐</v>
      </c>
      <c r="N49" t="b">
        <f t="shared" si="1"/>
        <v>0</v>
      </c>
    </row>
    <row r="50" spans="1:14" x14ac:dyDescent="0.3">
      <c r="A50">
        <v>49</v>
      </c>
      <c r="B50" t="s">
        <v>48</v>
      </c>
      <c r="C50" t="s">
        <v>10</v>
      </c>
      <c r="D50" t="s">
        <v>20</v>
      </c>
      <c r="E50" s="11">
        <v>45268</v>
      </c>
      <c r="F50">
        <v>9</v>
      </c>
      <c r="G50">
        <v>406</v>
      </c>
      <c r="H50">
        <v>3654</v>
      </c>
      <c r="I50">
        <v>1000</v>
      </c>
      <c r="J50">
        <v>2023</v>
      </c>
      <c r="K50" t="s">
        <v>9</v>
      </c>
      <c r="L50" t="s">
        <v>54</v>
      </c>
      <c r="M50" s="12" t="str">
        <f t="shared" si="0"/>
        <v>☑</v>
      </c>
      <c r="N50" t="b">
        <f t="shared" si="1"/>
        <v>1</v>
      </c>
    </row>
    <row r="51" spans="1:14" x14ac:dyDescent="0.3">
      <c r="A51">
        <v>50</v>
      </c>
      <c r="B51" t="s">
        <v>48</v>
      </c>
      <c r="C51" t="s">
        <v>14</v>
      </c>
      <c r="D51" t="s">
        <v>29</v>
      </c>
      <c r="E51" s="11">
        <v>44981</v>
      </c>
      <c r="F51">
        <v>9</v>
      </c>
      <c r="G51">
        <v>259</v>
      </c>
      <c r="H51">
        <v>2331</v>
      </c>
      <c r="I51">
        <v>2000</v>
      </c>
      <c r="J51">
        <v>2023</v>
      </c>
      <c r="K51" t="s">
        <v>6</v>
      </c>
      <c r="L51" t="s">
        <v>55</v>
      </c>
      <c r="M51" s="12" t="str">
        <f t="shared" si="0"/>
        <v>☑</v>
      </c>
      <c r="N51" t="b">
        <f t="shared" si="1"/>
        <v>1</v>
      </c>
    </row>
    <row r="52" spans="1:14" x14ac:dyDescent="0.3">
      <c r="A52">
        <v>51</v>
      </c>
      <c r="B52" t="s">
        <v>50</v>
      </c>
      <c r="C52" t="s">
        <v>11</v>
      </c>
      <c r="D52" t="s">
        <v>21</v>
      </c>
      <c r="E52" s="11">
        <v>45102</v>
      </c>
      <c r="F52">
        <v>4</v>
      </c>
      <c r="G52">
        <v>803</v>
      </c>
      <c r="H52">
        <v>3212</v>
      </c>
      <c r="I52">
        <v>2000</v>
      </c>
      <c r="J52">
        <v>2023</v>
      </c>
      <c r="K52" t="s">
        <v>7</v>
      </c>
      <c r="L52" t="s">
        <v>52</v>
      </c>
      <c r="M52" s="12" t="str">
        <f t="shared" si="0"/>
        <v>☑</v>
      </c>
      <c r="N52" t="b">
        <f t="shared" si="1"/>
        <v>1</v>
      </c>
    </row>
    <row r="53" spans="1:14" x14ac:dyDescent="0.3">
      <c r="A53">
        <v>52</v>
      </c>
      <c r="B53" t="s">
        <v>45</v>
      </c>
      <c r="C53" t="s">
        <v>10</v>
      </c>
      <c r="D53" t="s">
        <v>25</v>
      </c>
      <c r="E53" s="11">
        <v>44953</v>
      </c>
      <c r="F53">
        <v>2</v>
      </c>
      <c r="G53">
        <v>749</v>
      </c>
      <c r="H53">
        <v>1498</v>
      </c>
      <c r="I53">
        <v>2500</v>
      </c>
      <c r="J53">
        <v>2023</v>
      </c>
      <c r="K53" t="s">
        <v>6</v>
      </c>
      <c r="L53" t="s">
        <v>47</v>
      </c>
      <c r="M53" s="12" t="str">
        <f t="shared" si="0"/>
        <v>☐</v>
      </c>
      <c r="N53" t="b">
        <f t="shared" si="1"/>
        <v>0</v>
      </c>
    </row>
    <row r="54" spans="1:14" x14ac:dyDescent="0.3">
      <c r="A54">
        <v>53</v>
      </c>
      <c r="B54" t="s">
        <v>48</v>
      </c>
      <c r="C54" t="s">
        <v>11</v>
      </c>
      <c r="D54" t="s">
        <v>26</v>
      </c>
      <c r="E54" s="11">
        <v>45097</v>
      </c>
      <c r="F54">
        <v>3</v>
      </c>
      <c r="G54">
        <v>752</v>
      </c>
      <c r="H54">
        <v>2256</v>
      </c>
      <c r="I54">
        <v>2000</v>
      </c>
      <c r="J54">
        <v>2023</v>
      </c>
      <c r="K54" t="s">
        <v>7</v>
      </c>
      <c r="L54" t="s">
        <v>52</v>
      </c>
      <c r="M54" s="12" t="str">
        <f t="shared" si="0"/>
        <v>☑</v>
      </c>
      <c r="N54" t="b">
        <f t="shared" si="1"/>
        <v>1</v>
      </c>
    </row>
    <row r="55" spans="1:14" x14ac:dyDescent="0.3">
      <c r="A55">
        <v>54</v>
      </c>
      <c r="B55" t="s">
        <v>1</v>
      </c>
      <c r="C55" t="s">
        <v>14</v>
      </c>
      <c r="D55" t="s">
        <v>28</v>
      </c>
      <c r="E55" s="11">
        <v>45209</v>
      </c>
      <c r="F55">
        <v>7</v>
      </c>
      <c r="G55">
        <v>674</v>
      </c>
      <c r="H55">
        <v>4718</v>
      </c>
      <c r="I55">
        <v>1000</v>
      </c>
      <c r="J55">
        <v>2023</v>
      </c>
      <c r="K55" t="s">
        <v>9</v>
      </c>
      <c r="L55" t="s">
        <v>49</v>
      </c>
      <c r="M55" s="12" t="str">
        <f t="shared" si="0"/>
        <v>☑</v>
      </c>
      <c r="N55" t="b">
        <f t="shared" si="1"/>
        <v>1</v>
      </c>
    </row>
    <row r="56" spans="1:14" x14ac:dyDescent="0.3">
      <c r="A56">
        <v>55</v>
      </c>
      <c r="B56" t="s">
        <v>50</v>
      </c>
      <c r="C56" t="s">
        <v>12</v>
      </c>
      <c r="D56" t="s">
        <v>22</v>
      </c>
      <c r="E56" s="11">
        <v>45206</v>
      </c>
      <c r="F56">
        <v>1</v>
      </c>
      <c r="G56">
        <v>954</v>
      </c>
      <c r="H56">
        <v>954</v>
      </c>
      <c r="I56">
        <v>2000</v>
      </c>
      <c r="J56">
        <v>2023</v>
      </c>
      <c r="K56" t="s">
        <v>9</v>
      </c>
      <c r="L56" t="s">
        <v>49</v>
      </c>
      <c r="M56" s="12" t="str">
        <f t="shared" si="0"/>
        <v>☐</v>
      </c>
      <c r="N56" t="b">
        <f t="shared" si="1"/>
        <v>0</v>
      </c>
    </row>
    <row r="57" spans="1:14" x14ac:dyDescent="0.3">
      <c r="A57">
        <v>56</v>
      </c>
      <c r="B57" t="s">
        <v>50</v>
      </c>
      <c r="C57" t="s">
        <v>10</v>
      </c>
      <c r="D57" t="s">
        <v>20</v>
      </c>
      <c r="E57" s="11">
        <v>45147</v>
      </c>
      <c r="F57">
        <v>3</v>
      </c>
      <c r="G57">
        <v>142</v>
      </c>
      <c r="H57">
        <v>426</v>
      </c>
      <c r="I57">
        <v>2000</v>
      </c>
      <c r="J57">
        <v>2023</v>
      </c>
      <c r="K57" t="s">
        <v>8</v>
      </c>
      <c r="L57" t="s">
        <v>57</v>
      </c>
      <c r="M57" s="12" t="str">
        <f t="shared" si="0"/>
        <v>☐</v>
      </c>
      <c r="N57" t="b">
        <f t="shared" si="1"/>
        <v>0</v>
      </c>
    </row>
    <row r="58" spans="1:14" x14ac:dyDescent="0.3">
      <c r="A58">
        <v>57</v>
      </c>
      <c r="B58" t="s">
        <v>45</v>
      </c>
      <c r="C58" t="s">
        <v>11</v>
      </c>
      <c r="D58" t="s">
        <v>26</v>
      </c>
      <c r="E58" s="11">
        <v>45034</v>
      </c>
      <c r="F58">
        <v>4</v>
      </c>
      <c r="G58">
        <v>782</v>
      </c>
      <c r="H58">
        <v>3128</v>
      </c>
      <c r="I58">
        <v>1000</v>
      </c>
      <c r="J58">
        <v>2023</v>
      </c>
      <c r="K58" t="s">
        <v>7</v>
      </c>
      <c r="L58" t="s">
        <v>51</v>
      </c>
      <c r="M58" s="12" t="str">
        <f t="shared" si="0"/>
        <v>☑</v>
      </c>
      <c r="N58" t="b">
        <f t="shared" si="1"/>
        <v>1</v>
      </c>
    </row>
    <row r="59" spans="1:14" x14ac:dyDescent="0.3">
      <c r="A59">
        <v>58</v>
      </c>
      <c r="B59" t="s">
        <v>1</v>
      </c>
      <c r="C59" t="s">
        <v>11</v>
      </c>
      <c r="D59" t="s">
        <v>21</v>
      </c>
      <c r="E59" s="11">
        <v>45244</v>
      </c>
      <c r="F59">
        <v>3</v>
      </c>
      <c r="G59">
        <v>342</v>
      </c>
      <c r="H59">
        <v>1026</v>
      </c>
      <c r="I59">
        <v>1500</v>
      </c>
      <c r="J59">
        <v>2023</v>
      </c>
      <c r="K59" t="s">
        <v>9</v>
      </c>
      <c r="L59" t="s">
        <v>59</v>
      </c>
      <c r="M59" s="12" t="str">
        <f t="shared" si="0"/>
        <v>☐</v>
      </c>
      <c r="N59" t="b">
        <f t="shared" si="1"/>
        <v>0</v>
      </c>
    </row>
    <row r="60" spans="1:14" x14ac:dyDescent="0.3">
      <c r="A60">
        <v>59</v>
      </c>
      <c r="B60" t="s">
        <v>48</v>
      </c>
      <c r="C60" t="s">
        <v>14</v>
      </c>
      <c r="D60" t="s">
        <v>29</v>
      </c>
      <c r="E60" s="11">
        <v>45018</v>
      </c>
      <c r="F60">
        <v>6</v>
      </c>
      <c r="G60">
        <v>901</v>
      </c>
      <c r="H60">
        <v>5406</v>
      </c>
      <c r="I60">
        <v>2500</v>
      </c>
      <c r="J60">
        <v>2023</v>
      </c>
      <c r="K60" t="s">
        <v>7</v>
      </c>
      <c r="L60" t="s">
        <v>51</v>
      </c>
      <c r="M60" s="12" t="str">
        <f t="shared" si="0"/>
        <v>☑</v>
      </c>
      <c r="N60" t="b">
        <f t="shared" si="1"/>
        <v>1</v>
      </c>
    </row>
    <row r="61" spans="1:14" x14ac:dyDescent="0.3">
      <c r="A61">
        <v>60</v>
      </c>
      <c r="B61" t="s">
        <v>50</v>
      </c>
      <c r="C61" t="s">
        <v>14</v>
      </c>
      <c r="D61" t="s">
        <v>29</v>
      </c>
      <c r="E61" s="11">
        <v>45286</v>
      </c>
      <c r="F61">
        <v>2</v>
      </c>
      <c r="G61">
        <v>491</v>
      </c>
      <c r="H61">
        <v>982</v>
      </c>
      <c r="I61">
        <v>1000</v>
      </c>
      <c r="J61">
        <v>2023</v>
      </c>
      <c r="K61" t="s">
        <v>9</v>
      </c>
      <c r="L61" t="s">
        <v>54</v>
      </c>
      <c r="M61" s="12" t="str">
        <f t="shared" si="0"/>
        <v>☐</v>
      </c>
      <c r="N61" t="b">
        <f t="shared" si="1"/>
        <v>0</v>
      </c>
    </row>
    <row r="62" spans="1:14" x14ac:dyDescent="0.3">
      <c r="A62">
        <v>61</v>
      </c>
      <c r="B62" t="s">
        <v>50</v>
      </c>
      <c r="C62" t="s">
        <v>13</v>
      </c>
      <c r="D62" t="s">
        <v>15</v>
      </c>
      <c r="E62" s="11">
        <v>45162</v>
      </c>
      <c r="F62">
        <v>6</v>
      </c>
      <c r="G62">
        <v>412</v>
      </c>
      <c r="H62">
        <v>2472</v>
      </c>
      <c r="I62">
        <v>1500</v>
      </c>
      <c r="J62">
        <v>2023</v>
      </c>
      <c r="K62" t="s">
        <v>8</v>
      </c>
      <c r="L62" t="s">
        <v>57</v>
      </c>
      <c r="M62" s="12" t="str">
        <f t="shared" si="0"/>
        <v>☑</v>
      </c>
      <c r="N62" t="b">
        <f t="shared" si="1"/>
        <v>1</v>
      </c>
    </row>
    <row r="63" spans="1:14" x14ac:dyDescent="0.3">
      <c r="A63">
        <v>62</v>
      </c>
      <c r="B63" t="s">
        <v>50</v>
      </c>
      <c r="C63" t="s">
        <v>14</v>
      </c>
      <c r="D63" t="s">
        <v>16</v>
      </c>
      <c r="E63" s="11">
        <v>45131</v>
      </c>
      <c r="F63">
        <v>6</v>
      </c>
      <c r="G63">
        <v>385</v>
      </c>
      <c r="H63">
        <v>2310</v>
      </c>
      <c r="I63">
        <v>1000</v>
      </c>
      <c r="J63">
        <v>2023</v>
      </c>
      <c r="K63" t="s">
        <v>8</v>
      </c>
      <c r="L63" t="s">
        <v>53</v>
      </c>
      <c r="M63" s="12" t="str">
        <f t="shared" si="0"/>
        <v>☑</v>
      </c>
      <c r="N63" t="b">
        <f t="shared" si="1"/>
        <v>1</v>
      </c>
    </row>
    <row r="64" spans="1:14" x14ac:dyDescent="0.3">
      <c r="A64">
        <v>63</v>
      </c>
      <c r="B64" t="s">
        <v>1</v>
      </c>
      <c r="C64" t="s">
        <v>11</v>
      </c>
      <c r="D64" t="s">
        <v>24</v>
      </c>
      <c r="E64" s="11">
        <v>45274</v>
      </c>
      <c r="F64">
        <v>9</v>
      </c>
      <c r="G64">
        <v>439</v>
      </c>
      <c r="H64">
        <v>3951</v>
      </c>
      <c r="I64">
        <v>1000</v>
      </c>
      <c r="J64">
        <v>2023</v>
      </c>
      <c r="K64" t="s">
        <v>9</v>
      </c>
      <c r="L64" t="s">
        <v>54</v>
      </c>
      <c r="M64" s="12" t="str">
        <f t="shared" si="0"/>
        <v>☑</v>
      </c>
      <c r="N64" t="b">
        <f t="shared" si="1"/>
        <v>1</v>
      </c>
    </row>
    <row r="65" spans="1:14" x14ac:dyDescent="0.3">
      <c r="A65">
        <v>64</v>
      </c>
      <c r="B65" t="s">
        <v>50</v>
      </c>
      <c r="C65" t="s">
        <v>12</v>
      </c>
      <c r="D65" t="s">
        <v>27</v>
      </c>
      <c r="E65" s="11">
        <v>45224</v>
      </c>
      <c r="F65">
        <v>5</v>
      </c>
      <c r="G65">
        <v>139</v>
      </c>
      <c r="H65">
        <v>695</v>
      </c>
      <c r="I65">
        <v>1000</v>
      </c>
      <c r="J65">
        <v>2023</v>
      </c>
      <c r="K65" t="s">
        <v>9</v>
      </c>
      <c r="L65" t="s">
        <v>49</v>
      </c>
      <c r="M65" s="12" t="str">
        <f t="shared" si="0"/>
        <v>☐</v>
      </c>
      <c r="N65" t="b">
        <f t="shared" si="1"/>
        <v>0</v>
      </c>
    </row>
    <row r="66" spans="1:14" x14ac:dyDescent="0.3">
      <c r="A66">
        <v>65</v>
      </c>
      <c r="B66" t="s">
        <v>45</v>
      </c>
      <c r="C66" t="s">
        <v>10</v>
      </c>
      <c r="D66" t="s">
        <v>25</v>
      </c>
      <c r="E66" s="11">
        <v>45087</v>
      </c>
      <c r="F66">
        <v>7</v>
      </c>
      <c r="G66">
        <v>720</v>
      </c>
      <c r="H66">
        <v>5040</v>
      </c>
      <c r="I66">
        <v>1000</v>
      </c>
      <c r="J66">
        <v>2023</v>
      </c>
      <c r="K66" t="s">
        <v>7</v>
      </c>
      <c r="L66" t="s">
        <v>52</v>
      </c>
      <c r="M66" s="12" t="str">
        <f t="shared" si="0"/>
        <v>☑</v>
      </c>
      <c r="N66" t="b">
        <f t="shared" si="1"/>
        <v>1</v>
      </c>
    </row>
    <row r="67" spans="1:14" x14ac:dyDescent="0.3">
      <c r="A67">
        <v>66</v>
      </c>
      <c r="B67" t="s">
        <v>50</v>
      </c>
      <c r="C67" t="s">
        <v>13</v>
      </c>
      <c r="D67" t="s">
        <v>18</v>
      </c>
      <c r="E67" s="11">
        <v>45057</v>
      </c>
      <c r="F67">
        <v>1</v>
      </c>
      <c r="G67">
        <v>825</v>
      </c>
      <c r="H67">
        <v>825</v>
      </c>
      <c r="I67">
        <v>2500</v>
      </c>
      <c r="J67">
        <v>2023</v>
      </c>
      <c r="K67" t="s">
        <v>7</v>
      </c>
      <c r="L67" t="s">
        <v>46</v>
      </c>
      <c r="M67" s="12" t="str">
        <f t="shared" ref="M67:M130" si="2">IF(H67&gt;=I67,"☑","☐")</f>
        <v>☐</v>
      </c>
      <c r="N67" t="b">
        <f t="shared" ref="N67:N130" si="3">IF(H67&gt;=I67,TRUE,FALSE)</f>
        <v>0</v>
      </c>
    </row>
    <row r="68" spans="1:14" x14ac:dyDescent="0.3">
      <c r="A68">
        <v>67</v>
      </c>
      <c r="B68" t="s">
        <v>50</v>
      </c>
      <c r="C68" t="s">
        <v>12</v>
      </c>
      <c r="D68" t="s">
        <v>19</v>
      </c>
      <c r="E68" s="11">
        <v>45113</v>
      </c>
      <c r="F68">
        <v>7</v>
      </c>
      <c r="G68">
        <v>171</v>
      </c>
      <c r="H68">
        <v>1197</v>
      </c>
      <c r="I68">
        <v>2000</v>
      </c>
      <c r="J68">
        <v>2023</v>
      </c>
      <c r="K68" t="s">
        <v>8</v>
      </c>
      <c r="L68" t="s">
        <v>53</v>
      </c>
      <c r="M68" s="12" t="str">
        <f t="shared" si="2"/>
        <v>☐</v>
      </c>
      <c r="N68" t="b">
        <f t="shared" si="3"/>
        <v>0</v>
      </c>
    </row>
    <row r="69" spans="1:14" x14ac:dyDescent="0.3">
      <c r="A69">
        <v>68</v>
      </c>
      <c r="B69" t="s">
        <v>48</v>
      </c>
      <c r="C69" t="s">
        <v>10</v>
      </c>
      <c r="D69" t="s">
        <v>25</v>
      </c>
      <c r="E69" s="11">
        <v>45080</v>
      </c>
      <c r="F69">
        <v>9</v>
      </c>
      <c r="G69">
        <v>416</v>
      </c>
      <c r="H69">
        <v>3744</v>
      </c>
      <c r="I69">
        <v>2500</v>
      </c>
      <c r="J69">
        <v>2023</v>
      </c>
      <c r="K69" t="s">
        <v>7</v>
      </c>
      <c r="L69" t="s">
        <v>52</v>
      </c>
      <c r="M69" s="12" t="str">
        <f t="shared" si="2"/>
        <v>☑</v>
      </c>
      <c r="N69" t="b">
        <f t="shared" si="3"/>
        <v>1</v>
      </c>
    </row>
    <row r="70" spans="1:14" x14ac:dyDescent="0.3">
      <c r="A70">
        <v>69</v>
      </c>
      <c r="B70" t="s">
        <v>45</v>
      </c>
      <c r="C70" t="s">
        <v>11</v>
      </c>
      <c r="D70" t="s">
        <v>24</v>
      </c>
      <c r="E70" s="11">
        <v>45210</v>
      </c>
      <c r="F70">
        <v>3</v>
      </c>
      <c r="G70">
        <v>296</v>
      </c>
      <c r="H70">
        <v>888</v>
      </c>
      <c r="I70">
        <v>2500</v>
      </c>
      <c r="J70">
        <v>2023</v>
      </c>
      <c r="K70" t="s">
        <v>9</v>
      </c>
      <c r="L70" t="s">
        <v>49</v>
      </c>
      <c r="M70" s="12" t="str">
        <f t="shared" si="2"/>
        <v>☐</v>
      </c>
      <c r="N70" t="b">
        <f t="shared" si="3"/>
        <v>0</v>
      </c>
    </row>
    <row r="71" spans="1:14" x14ac:dyDescent="0.3">
      <c r="A71">
        <v>70</v>
      </c>
      <c r="B71" t="s">
        <v>50</v>
      </c>
      <c r="C71" t="s">
        <v>13</v>
      </c>
      <c r="D71" t="s">
        <v>18</v>
      </c>
      <c r="E71" s="11">
        <v>45242</v>
      </c>
      <c r="F71">
        <v>10</v>
      </c>
      <c r="G71">
        <v>408</v>
      </c>
      <c r="H71">
        <v>4080</v>
      </c>
      <c r="I71">
        <v>2500</v>
      </c>
      <c r="J71">
        <v>2023</v>
      </c>
      <c r="K71" t="s">
        <v>9</v>
      </c>
      <c r="L71" t="s">
        <v>59</v>
      </c>
      <c r="M71" s="12" t="str">
        <f t="shared" si="2"/>
        <v>☑</v>
      </c>
      <c r="N71" t="b">
        <f t="shared" si="3"/>
        <v>1</v>
      </c>
    </row>
    <row r="72" spans="1:14" x14ac:dyDescent="0.3">
      <c r="A72">
        <v>71</v>
      </c>
      <c r="B72" t="s">
        <v>45</v>
      </c>
      <c r="C72" t="s">
        <v>10</v>
      </c>
      <c r="D72" t="s">
        <v>17</v>
      </c>
      <c r="E72" s="11">
        <v>45073</v>
      </c>
      <c r="F72">
        <v>4</v>
      </c>
      <c r="G72">
        <v>540</v>
      </c>
      <c r="H72">
        <v>2160</v>
      </c>
      <c r="I72">
        <v>2000</v>
      </c>
      <c r="J72">
        <v>2023</v>
      </c>
      <c r="K72" t="s">
        <v>7</v>
      </c>
      <c r="L72" t="s">
        <v>46</v>
      </c>
      <c r="M72" s="12" t="str">
        <f t="shared" si="2"/>
        <v>☑</v>
      </c>
      <c r="N72" t="b">
        <f t="shared" si="3"/>
        <v>1</v>
      </c>
    </row>
    <row r="73" spans="1:14" x14ac:dyDescent="0.3">
      <c r="A73">
        <v>72</v>
      </c>
      <c r="B73" t="s">
        <v>1</v>
      </c>
      <c r="C73" t="s">
        <v>13</v>
      </c>
      <c r="D73" t="s">
        <v>23</v>
      </c>
      <c r="E73" s="11">
        <v>45272</v>
      </c>
      <c r="F73">
        <v>4</v>
      </c>
      <c r="G73">
        <v>623</v>
      </c>
      <c r="H73">
        <v>2492</v>
      </c>
      <c r="I73">
        <v>2500</v>
      </c>
      <c r="J73">
        <v>2023</v>
      </c>
      <c r="K73" t="s">
        <v>9</v>
      </c>
      <c r="L73" t="s">
        <v>54</v>
      </c>
      <c r="M73" s="12" t="str">
        <f t="shared" si="2"/>
        <v>☐</v>
      </c>
      <c r="N73" t="b">
        <f t="shared" si="3"/>
        <v>0</v>
      </c>
    </row>
    <row r="74" spans="1:14" x14ac:dyDescent="0.3">
      <c r="A74">
        <v>73</v>
      </c>
      <c r="B74" t="s">
        <v>48</v>
      </c>
      <c r="C74" t="s">
        <v>14</v>
      </c>
      <c r="D74" t="s">
        <v>28</v>
      </c>
      <c r="E74" s="11">
        <v>45072</v>
      </c>
      <c r="F74">
        <v>9</v>
      </c>
      <c r="G74">
        <v>779</v>
      </c>
      <c r="H74">
        <v>7011</v>
      </c>
      <c r="I74">
        <v>2000</v>
      </c>
      <c r="J74">
        <v>2023</v>
      </c>
      <c r="K74" t="s">
        <v>7</v>
      </c>
      <c r="L74" t="s">
        <v>46</v>
      </c>
      <c r="M74" s="12" t="str">
        <f t="shared" si="2"/>
        <v>☑</v>
      </c>
      <c r="N74" t="b">
        <f t="shared" si="3"/>
        <v>1</v>
      </c>
    </row>
    <row r="75" spans="1:14" x14ac:dyDescent="0.3">
      <c r="A75">
        <v>74</v>
      </c>
      <c r="B75" t="s">
        <v>45</v>
      </c>
      <c r="C75" t="s">
        <v>12</v>
      </c>
      <c r="D75" t="s">
        <v>22</v>
      </c>
      <c r="E75" s="11">
        <v>45042</v>
      </c>
      <c r="F75">
        <v>4</v>
      </c>
      <c r="G75">
        <v>250</v>
      </c>
      <c r="H75">
        <v>1000</v>
      </c>
      <c r="I75">
        <v>1000</v>
      </c>
      <c r="J75">
        <v>2023</v>
      </c>
      <c r="K75" t="s">
        <v>7</v>
      </c>
      <c r="L75" t="s">
        <v>51</v>
      </c>
      <c r="M75" s="12" t="str">
        <f t="shared" si="2"/>
        <v>☑</v>
      </c>
      <c r="N75" t="b">
        <f t="shared" si="3"/>
        <v>1</v>
      </c>
    </row>
    <row r="76" spans="1:14" x14ac:dyDescent="0.3">
      <c r="A76">
        <v>75</v>
      </c>
      <c r="B76" t="s">
        <v>1</v>
      </c>
      <c r="C76" t="s">
        <v>12</v>
      </c>
      <c r="D76" t="s">
        <v>22</v>
      </c>
      <c r="E76" s="11">
        <v>45239</v>
      </c>
      <c r="F76">
        <v>2</v>
      </c>
      <c r="G76">
        <v>566</v>
      </c>
      <c r="H76">
        <v>1132</v>
      </c>
      <c r="I76">
        <v>2500</v>
      </c>
      <c r="J76">
        <v>2023</v>
      </c>
      <c r="K76" t="s">
        <v>9</v>
      </c>
      <c r="L76" t="s">
        <v>59</v>
      </c>
      <c r="M76" s="12" t="str">
        <f t="shared" si="2"/>
        <v>☐</v>
      </c>
      <c r="N76" t="b">
        <f t="shared" si="3"/>
        <v>0</v>
      </c>
    </row>
    <row r="77" spans="1:14" x14ac:dyDescent="0.3">
      <c r="A77">
        <v>76</v>
      </c>
      <c r="B77" t="s">
        <v>1</v>
      </c>
      <c r="C77" t="s">
        <v>10</v>
      </c>
      <c r="D77" t="s">
        <v>17</v>
      </c>
      <c r="E77" s="11">
        <v>45180</v>
      </c>
      <c r="F77">
        <v>7</v>
      </c>
      <c r="G77">
        <v>349</v>
      </c>
      <c r="H77">
        <v>2443</v>
      </c>
      <c r="I77">
        <v>1500</v>
      </c>
      <c r="J77">
        <v>2023</v>
      </c>
      <c r="K77" t="s">
        <v>8</v>
      </c>
      <c r="L77" t="s">
        <v>58</v>
      </c>
      <c r="M77" s="12" t="str">
        <f t="shared" si="2"/>
        <v>☑</v>
      </c>
      <c r="N77" t="b">
        <f t="shared" si="3"/>
        <v>1</v>
      </c>
    </row>
    <row r="78" spans="1:14" x14ac:dyDescent="0.3">
      <c r="A78">
        <v>77</v>
      </c>
      <c r="B78" t="s">
        <v>1</v>
      </c>
      <c r="C78" t="s">
        <v>12</v>
      </c>
      <c r="D78" t="s">
        <v>22</v>
      </c>
      <c r="E78" s="11">
        <v>45039</v>
      </c>
      <c r="F78">
        <v>3</v>
      </c>
      <c r="G78">
        <v>923</v>
      </c>
      <c r="H78">
        <v>2769</v>
      </c>
      <c r="I78">
        <v>2500</v>
      </c>
      <c r="J78">
        <v>2023</v>
      </c>
      <c r="K78" t="s">
        <v>7</v>
      </c>
      <c r="L78" t="s">
        <v>51</v>
      </c>
      <c r="M78" s="12" t="str">
        <f t="shared" si="2"/>
        <v>☑</v>
      </c>
      <c r="N78" t="b">
        <f t="shared" si="3"/>
        <v>1</v>
      </c>
    </row>
    <row r="79" spans="1:14" x14ac:dyDescent="0.3">
      <c r="A79">
        <v>78</v>
      </c>
      <c r="B79" t="s">
        <v>50</v>
      </c>
      <c r="C79" t="s">
        <v>12</v>
      </c>
      <c r="D79" t="s">
        <v>19</v>
      </c>
      <c r="E79" s="11">
        <v>44989</v>
      </c>
      <c r="F79">
        <v>8</v>
      </c>
      <c r="G79">
        <v>236</v>
      </c>
      <c r="H79">
        <v>1888</v>
      </c>
      <c r="I79">
        <v>2500</v>
      </c>
      <c r="J79">
        <v>2023</v>
      </c>
      <c r="K79" t="s">
        <v>6</v>
      </c>
      <c r="L79" t="s">
        <v>56</v>
      </c>
      <c r="M79" s="12" t="str">
        <f t="shared" si="2"/>
        <v>☐</v>
      </c>
      <c r="N79" t="b">
        <f t="shared" si="3"/>
        <v>0</v>
      </c>
    </row>
    <row r="80" spans="1:14" x14ac:dyDescent="0.3">
      <c r="A80">
        <v>79</v>
      </c>
      <c r="B80" t="s">
        <v>45</v>
      </c>
      <c r="C80" t="s">
        <v>10</v>
      </c>
      <c r="D80" t="s">
        <v>20</v>
      </c>
      <c r="E80" s="11">
        <v>45153</v>
      </c>
      <c r="F80">
        <v>10</v>
      </c>
      <c r="G80">
        <v>934</v>
      </c>
      <c r="H80">
        <v>9340</v>
      </c>
      <c r="I80">
        <v>2500</v>
      </c>
      <c r="J80">
        <v>2023</v>
      </c>
      <c r="K80" t="s">
        <v>8</v>
      </c>
      <c r="L80" t="s">
        <v>57</v>
      </c>
      <c r="M80" s="12" t="str">
        <f t="shared" si="2"/>
        <v>☑</v>
      </c>
      <c r="N80" t="b">
        <f t="shared" si="3"/>
        <v>1</v>
      </c>
    </row>
    <row r="81" spans="1:14" x14ac:dyDescent="0.3">
      <c r="A81">
        <v>80</v>
      </c>
      <c r="B81" t="s">
        <v>50</v>
      </c>
      <c r="C81" t="s">
        <v>10</v>
      </c>
      <c r="D81" t="s">
        <v>25</v>
      </c>
      <c r="E81" s="11">
        <v>45170</v>
      </c>
      <c r="F81">
        <v>8</v>
      </c>
      <c r="G81">
        <v>365</v>
      </c>
      <c r="H81">
        <v>2920</v>
      </c>
      <c r="I81">
        <v>1500</v>
      </c>
      <c r="J81">
        <v>2023</v>
      </c>
      <c r="K81" t="s">
        <v>8</v>
      </c>
      <c r="L81" t="s">
        <v>58</v>
      </c>
      <c r="M81" s="12" t="str">
        <f t="shared" si="2"/>
        <v>☑</v>
      </c>
      <c r="N81" t="b">
        <f t="shared" si="3"/>
        <v>1</v>
      </c>
    </row>
    <row r="82" spans="1:14" x14ac:dyDescent="0.3">
      <c r="A82">
        <v>81</v>
      </c>
      <c r="B82" t="s">
        <v>1</v>
      </c>
      <c r="C82" t="s">
        <v>11</v>
      </c>
      <c r="D82" t="s">
        <v>21</v>
      </c>
      <c r="E82" s="11">
        <v>45247</v>
      </c>
      <c r="F82">
        <v>4</v>
      </c>
      <c r="G82">
        <v>381</v>
      </c>
      <c r="H82">
        <v>1524</v>
      </c>
      <c r="I82">
        <v>2500</v>
      </c>
      <c r="J82">
        <v>2023</v>
      </c>
      <c r="K82" t="s">
        <v>9</v>
      </c>
      <c r="L82" t="s">
        <v>59</v>
      </c>
      <c r="M82" s="12" t="str">
        <f t="shared" si="2"/>
        <v>☐</v>
      </c>
      <c r="N82" t="b">
        <f t="shared" si="3"/>
        <v>0</v>
      </c>
    </row>
    <row r="83" spans="1:14" x14ac:dyDescent="0.3">
      <c r="A83">
        <v>82</v>
      </c>
      <c r="B83" t="s">
        <v>45</v>
      </c>
      <c r="C83" t="s">
        <v>12</v>
      </c>
      <c r="D83" t="s">
        <v>19</v>
      </c>
      <c r="E83" s="11">
        <v>45047</v>
      </c>
      <c r="F83">
        <v>5</v>
      </c>
      <c r="G83">
        <v>443</v>
      </c>
      <c r="H83">
        <v>2215</v>
      </c>
      <c r="I83">
        <v>2000</v>
      </c>
      <c r="J83">
        <v>2023</v>
      </c>
      <c r="K83" t="s">
        <v>7</v>
      </c>
      <c r="L83" t="s">
        <v>46</v>
      </c>
      <c r="M83" s="12" t="str">
        <f t="shared" si="2"/>
        <v>☑</v>
      </c>
      <c r="N83" t="b">
        <f t="shared" si="3"/>
        <v>1</v>
      </c>
    </row>
    <row r="84" spans="1:14" x14ac:dyDescent="0.3">
      <c r="A84">
        <v>83</v>
      </c>
      <c r="B84" t="s">
        <v>50</v>
      </c>
      <c r="C84" t="s">
        <v>10</v>
      </c>
      <c r="D84" t="s">
        <v>17</v>
      </c>
      <c r="E84" s="11">
        <v>45004</v>
      </c>
      <c r="F84">
        <v>4</v>
      </c>
      <c r="G84">
        <v>492</v>
      </c>
      <c r="H84">
        <v>1968</v>
      </c>
      <c r="I84">
        <v>1500</v>
      </c>
      <c r="J84">
        <v>2023</v>
      </c>
      <c r="K84" t="s">
        <v>6</v>
      </c>
      <c r="L84" t="s">
        <v>56</v>
      </c>
      <c r="M84" s="12" t="str">
        <f t="shared" si="2"/>
        <v>☑</v>
      </c>
      <c r="N84" t="b">
        <f t="shared" si="3"/>
        <v>1</v>
      </c>
    </row>
    <row r="85" spans="1:14" x14ac:dyDescent="0.3">
      <c r="A85">
        <v>84</v>
      </c>
      <c r="B85" t="s">
        <v>1</v>
      </c>
      <c r="C85" t="s">
        <v>14</v>
      </c>
      <c r="D85" t="s">
        <v>16</v>
      </c>
      <c r="E85" s="11">
        <v>45135</v>
      </c>
      <c r="F85">
        <v>6</v>
      </c>
      <c r="G85">
        <v>655</v>
      </c>
      <c r="H85">
        <v>3930</v>
      </c>
      <c r="I85">
        <v>2500</v>
      </c>
      <c r="J85">
        <v>2023</v>
      </c>
      <c r="K85" t="s">
        <v>8</v>
      </c>
      <c r="L85" t="s">
        <v>53</v>
      </c>
      <c r="M85" s="12" t="str">
        <f t="shared" si="2"/>
        <v>☑</v>
      </c>
      <c r="N85" t="b">
        <f t="shared" si="3"/>
        <v>1</v>
      </c>
    </row>
    <row r="86" spans="1:14" x14ac:dyDescent="0.3">
      <c r="A86">
        <v>85</v>
      </c>
      <c r="B86" t="s">
        <v>50</v>
      </c>
      <c r="C86" t="s">
        <v>13</v>
      </c>
      <c r="D86" t="s">
        <v>15</v>
      </c>
      <c r="E86" s="11">
        <v>45142</v>
      </c>
      <c r="F86">
        <v>7</v>
      </c>
      <c r="G86">
        <v>888</v>
      </c>
      <c r="H86">
        <v>6216</v>
      </c>
      <c r="I86">
        <v>1000</v>
      </c>
      <c r="J86">
        <v>2023</v>
      </c>
      <c r="K86" t="s">
        <v>8</v>
      </c>
      <c r="L86" t="s">
        <v>57</v>
      </c>
      <c r="M86" s="12" t="str">
        <f t="shared" si="2"/>
        <v>☑</v>
      </c>
      <c r="N86" t="b">
        <f t="shared" si="3"/>
        <v>1</v>
      </c>
    </row>
    <row r="87" spans="1:14" x14ac:dyDescent="0.3">
      <c r="A87">
        <v>86</v>
      </c>
      <c r="B87" t="s">
        <v>1</v>
      </c>
      <c r="C87" t="s">
        <v>10</v>
      </c>
      <c r="D87" t="s">
        <v>25</v>
      </c>
      <c r="E87" s="11">
        <v>44930</v>
      </c>
      <c r="F87">
        <v>6</v>
      </c>
      <c r="G87">
        <v>405</v>
      </c>
      <c r="H87">
        <v>2430</v>
      </c>
      <c r="I87">
        <v>2500</v>
      </c>
      <c r="J87">
        <v>2023</v>
      </c>
      <c r="K87" t="s">
        <v>6</v>
      </c>
      <c r="L87" t="s">
        <v>47</v>
      </c>
      <c r="M87" s="12" t="str">
        <f t="shared" si="2"/>
        <v>☐</v>
      </c>
      <c r="N87" t="b">
        <f t="shared" si="3"/>
        <v>0</v>
      </c>
    </row>
    <row r="88" spans="1:14" x14ac:dyDescent="0.3">
      <c r="A88">
        <v>87</v>
      </c>
      <c r="B88" t="s">
        <v>50</v>
      </c>
      <c r="C88" t="s">
        <v>13</v>
      </c>
      <c r="D88" t="s">
        <v>18</v>
      </c>
      <c r="E88" s="11">
        <v>45176</v>
      </c>
      <c r="F88">
        <v>4</v>
      </c>
      <c r="G88">
        <v>379</v>
      </c>
      <c r="H88">
        <v>1516</v>
      </c>
      <c r="I88">
        <v>2500</v>
      </c>
      <c r="J88">
        <v>2023</v>
      </c>
      <c r="K88" t="s">
        <v>8</v>
      </c>
      <c r="L88" t="s">
        <v>58</v>
      </c>
      <c r="M88" s="12" t="str">
        <f t="shared" si="2"/>
        <v>☐</v>
      </c>
      <c r="N88" t="b">
        <f t="shared" si="3"/>
        <v>0</v>
      </c>
    </row>
    <row r="89" spans="1:14" x14ac:dyDescent="0.3">
      <c r="A89">
        <v>88</v>
      </c>
      <c r="B89" t="s">
        <v>1</v>
      </c>
      <c r="C89" t="s">
        <v>13</v>
      </c>
      <c r="D89" t="s">
        <v>15</v>
      </c>
      <c r="E89" s="11">
        <v>45099</v>
      </c>
      <c r="F89">
        <v>7</v>
      </c>
      <c r="G89">
        <v>841</v>
      </c>
      <c r="H89">
        <v>5887</v>
      </c>
      <c r="I89">
        <v>1500</v>
      </c>
      <c r="J89">
        <v>2023</v>
      </c>
      <c r="K89" t="s">
        <v>7</v>
      </c>
      <c r="L89" t="s">
        <v>52</v>
      </c>
      <c r="M89" s="12" t="str">
        <f t="shared" si="2"/>
        <v>☑</v>
      </c>
      <c r="N89" t="b">
        <f t="shared" si="3"/>
        <v>1</v>
      </c>
    </row>
    <row r="90" spans="1:14" x14ac:dyDescent="0.3">
      <c r="A90">
        <v>89</v>
      </c>
      <c r="B90" t="s">
        <v>48</v>
      </c>
      <c r="C90" t="s">
        <v>13</v>
      </c>
      <c r="D90" t="s">
        <v>15</v>
      </c>
      <c r="E90" s="11">
        <v>45128</v>
      </c>
      <c r="F90">
        <v>10</v>
      </c>
      <c r="G90">
        <v>677</v>
      </c>
      <c r="H90">
        <v>6770</v>
      </c>
      <c r="I90">
        <v>1000</v>
      </c>
      <c r="J90">
        <v>2023</v>
      </c>
      <c r="K90" t="s">
        <v>8</v>
      </c>
      <c r="L90" t="s">
        <v>53</v>
      </c>
      <c r="M90" s="12" t="str">
        <f t="shared" si="2"/>
        <v>☑</v>
      </c>
      <c r="N90" t="b">
        <f t="shared" si="3"/>
        <v>1</v>
      </c>
    </row>
    <row r="91" spans="1:14" x14ac:dyDescent="0.3">
      <c r="A91">
        <v>90</v>
      </c>
      <c r="B91" t="s">
        <v>1</v>
      </c>
      <c r="C91" t="s">
        <v>12</v>
      </c>
      <c r="D91" t="s">
        <v>19</v>
      </c>
      <c r="E91" s="11">
        <v>44996</v>
      </c>
      <c r="F91">
        <v>8</v>
      </c>
      <c r="G91">
        <v>286</v>
      </c>
      <c r="H91">
        <v>2288</v>
      </c>
      <c r="I91">
        <v>1000</v>
      </c>
      <c r="J91">
        <v>2023</v>
      </c>
      <c r="K91" t="s">
        <v>6</v>
      </c>
      <c r="L91" t="s">
        <v>56</v>
      </c>
      <c r="M91" s="12" t="str">
        <f t="shared" si="2"/>
        <v>☑</v>
      </c>
      <c r="N91" t="b">
        <f t="shared" si="3"/>
        <v>1</v>
      </c>
    </row>
    <row r="92" spans="1:14" x14ac:dyDescent="0.3">
      <c r="A92">
        <v>91</v>
      </c>
      <c r="B92" t="s">
        <v>45</v>
      </c>
      <c r="C92" t="s">
        <v>11</v>
      </c>
      <c r="D92" t="s">
        <v>24</v>
      </c>
      <c r="E92" s="11">
        <v>45035</v>
      </c>
      <c r="F92">
        <v>8</v>
      </c>
      <c r="G92">
        <v>434</v>
      </c>
      <c r="H92">
        <v>3472</v>
      </c>
      <c r="I92">
        <v>2000</v>
      </c>
      <c r="J92">
        <v>2023</v>
      </c>
      <c r="K92" t="s">
        <v>7</v>
      </c>
      <c r="L92" t="s">
        <v>51</v>
      </c>
      <c r="M92" s="12" t="str">
        <f t="shared" si="2"/>
        <v>☑</v>
      </c>
      <c r="N92" t="b">
        <f t="shared" si="3"/>
        <v>1</v>
      </c>
    </row>
    <row r="93" spans="1:14" x14ac:dyDescent="0.3">
      <c r="A93">
        <v>92</v>
      </c>
      <c r="B93" t="s">
        <v>1</v>
      </c>
      <c r="C93" t="s">
        <v>13</v>
      </c>
      <c r="D93" t="s">
        <v>23</v>
      </c>
      <c r="E93" s="11">
        <v>45056</v>
      </c>
      <c r="F93">
        <v>2</v>
      </c>
      <c r="G93">
        <v>581</v>
      </c>
      <c r="H93">
        <v>1162</v>
      </c>
      <c r="I93">
        <v>1000</v>
      </c>
      <c r="J93">
        <v>2023</v>
      </c>
      <c r="K93" t="s">
        <v>7</v>
      </c>
      <c r="L93" t="s">
        <v>46</v>
      </c>
      <c r="M93" s="12" t="str">
        <f t="shared" si="2"/>
        <v>☑</v>
      </c>
      <c r="N93" t="b">
        <f t="shared" si="3"/>
        <v>1</v>
      </c>
    </row>
    <row r="94" spans="1:14" x14ac:dyDescent="0.3">
      <c r="A94">
        <v>93</v>
      </c>
      <c r="B94" t="s">
        <v>45</v>
      </c>
      <c r="C94" t="s">
        <v>10</v>
      </c>
      <c r="D94" t="s">
        <v>17</v>
      </c>
      <c r="E94" s="11">
        <v>45041</v>
      </c>
      <c r="F94">
        <v>2</v>
      </c>
      <c r="G94">
        <v>899</v>
      </c>
      <c r="H94">
        <v>1798</v>
      </c>
      <c r="I94">
        <v>1000</v>
      </c>
      <c r="J94">
        <v>2023</v>
      </c>
      <c r="K94" t="s">
        <v>7</v>
      </c>
      <c r="L94" t="s">
        <v>51</v>
      </c>
      <c r="M94" s="12" t="str">
        <f t="shared" si="2"/>
        <v>☑</v>
      </c>
      <c r="N94" t="b">
        <f t="shared" si="3"/>
        <v>1</v>
      </c>
    </row>
    <row r="95" spans="1:14" x14ac:dyDescent="0.3">
      <c r="A95">
        <v>94</v>
      </c>
      <c r="B95" t="s">
        <v>50</v>
      </c>
      <c r="C95" t="s">
        <v>12</v>
      </c>
      <c r="D95" t="s">
        <v>22</v>
      </c>
      <c r="E95" s="11">
        <v>44937</v>
      </c>
      <c r="F95">
        <v>10</v>
      </c>
      <c r="G95">
        <v>256</v>
      </c>
      <c r="H95">
        <v>2560</v>
      </c>
      <c r="I95">
        <v>1500</v>
      </c>
      <c r="J95">
        <v>2023</v>
      </c>
      <c r="K95" t="s">
        <v>6</v>
      </c>
      <c r="L95" t="s">
        <v>47</v>
      </c>
      <c r="M95" s="12" t="str">
        <f t="shared" si="2"/>
        <v>☑</v>
      </c>
      <c r="N95" t="b">
        <f t="shared" si="3"/>
        <v>1</v>
      </c>
    </row>
    <row r="96" spans="1:14" x14ac:dyDescent="0.3">
      <c r="A96">
        <v>95</v>
      </c>
      <c r="B96" t="s">
        <v>48</v>
      </c>
      <c r="C96" t="s">
        <v>14</v>
      </c>
      <c r="D96" t="s">
        <v>29</v>
      </c>
      <c r="E96" s="11">
        <v>45215</v>
      </c>
      <c r="F96">
        <v>4</v>
      </c>
      <c r="G96">
        <v>576</v>
      </c>
      <c r="H96">
        <v>2304</v>
      </c>
      <c r="I96">
        <v>2000</v>
      </c>
      <c r="J96">
        <v>2023</v>
      </c>
      <c r="K96" t="s">
        <v>9</v>
      </c>
      <c r="L96" t="s">
        <v>49</v>
      </c>
      <c r="M96" s="12" t="str">
        <f t="shared" si="2"/>
        <v>☑</v>
      </c>
      <c r="N96" t="b">
        <f t="shared" si="3"/>
        <v>1</v>
      </c>
    </row>
    <row r="97" spans="1:14" x14ac:dyDescent="0.3">
      <c r="A97">
        <v>96</v>
      </c>
      <c r="B97" t="s">
        <v>48</v>
      </c>
      <c r="C97" t="s">
        <v>11</v>
      </c>
      <c r="D97" t="s">
        <v>26</v>
      </c>
      <c r="E97" s="11">
        <v>45010</v>
      </c>
      <c r="F97">
        <v>5</v>
      </c>
      <c r="G97">
        <v>210</v>
      </c>
      <c r="H97">
        <v>1050</v>
      </c>
      <c r="I97">
        <v>1000</v>
      </c>
      <c r="J97">
        <v>2023</v>
      </c>
      <c r="K97" t="s">
        <v>6</v>
      </c>
      <c r="L97" t="s">
        <v>56</v>
      </c>
      <c r="M97" s="12" t="str">
        <f t="shared" si="2"/>
        <v>☑</v>
      </c>
      <c r="N97" t="b">
        <f t="shared" si="3"/>
        <v>1</v>
      </c>
    </row>
    <row r="98" spans="1:14" x14ac:dyDescent="0.3">
      <c r="A98">
        <v>97</v>
      </c>
      <c r="B98" t="s">
        <v>1</v>
      </c>
      <c r="C98" t="s">
        <v>11</v>
      </c>
      <c r="D98" t="s">
        <v>21</v>
      </c>
      <c r="E98" s="11">
        <v>45130</v>
      </c>
      <c r="F98">
        <v>4</v>
      </c>
      <c r="G98">
        <v>177</v>
      </c>
      <c r="H98">
        <v>708</v>
      </c>
      <c r="I98">
        <v>1500</v>
      </c>
      <c r="J98">
        <v>2023</v>
      </c>
      <c r="K98" t="s">
        <v>8</v>
      </c>
      <c r="L98" t="s">
        <v>53</v>
      </c>
      <c r="M98" s="12" t="str">
        <f t="shared" si="2"/>
        <v>☐</v>
      </c>
      <c r="N98" t="b">
        <f t="shared" si="3"/>
        <v>0</v>
      </c>
    </row>
    <row r="99" spans="1:14" x14ac:dyDescent="0.3">
      <c r="A99">
        <v>98</v>
      </c>
      <c r="B99" t="s">
        <v>45</v>
      </c>
      <c r="C99" t="s">
        <v>12</v>
      </c>
      <c r="D99" t="s">
        <v>19</v>
      </c>
      <c r="E99" s="11">
        <v>45277</v>
      </c>
      <c r="F99">
        <v>10</v>
      </c>
      <c r="G99">
        <v>924</v>
      </c>
      <c r="H99">
        <v>9240</v>
      </c>
      <c r="I99">
        <v>1000</v>
      </c>
      <c r="J99">
        <v>2023</v>
      </c>
      <c r="K99" t="s">
        <v>9</v>
      </c>
      <c r="L99" t="s">
        <v>54</v>
      </c>
      <c r="M99" s="12" t="str">
        <f t="shared" si="2"/>
        <v>☑</v>
      </c>
      <c r="N99" t="b">
        <f t="shared" si="3"/>
        <v>1</v>
      </c>
    </row>
    <row r="100" spans="1:14" x14ac:dyDescent="0.3">
      <c r="A100">
        <v>99</v>
      </c>
      <c r="B100" t="s">
        <v>45</v>
      </c>
      <c r="C100" t="s">
        <v>10</v>
      </c>
      <c r="D100" t="s">
        <v>17</v>
      </c>
      <c r="E100" s="11">
        <v>45199</v>
      </c>
      <c r="F100">
        <v>7</v>
      </c>
      <c r="G100">
        <v>777</v>
      </c>
      <c r="H100">
        <v>5439</v>
      </c>
      <c r="I100">
        <v>2000</v>
      </c>
      <c r="J100">
        <v>2023</v>
      </c>
      <c r="K100" t="s">
        <v>8</v>
      </c>
      <c r="L100" t="s">
        <v>58</v>
      </c>
      <c r="M100" s="12" t="str">
        <f t="shared" si="2"/>
        <v>☑</v>
      </c>
      <c r="N100" t="b">
        <f t="shared" si="3"/>
        <v>1</v>
      </c>
    </row>
    <row r="101" spans="1:14" x14ac:dyDescent="0.3">
      <c r="A101">
        <v>100</v>
      </c>
      <c r="B101" t="s">
        <v>45</v>
      </c>
      <c r="C101" t="s">
        <v>12</v>
      </c>
      <c r="D101" t="s">
        <v>19</v>
      </c>
      <c r="E101" s="11">
        <v>44933</v>
      </c>
      <c r="F101">
        <v>7</v>
      </c>
      <c r="G101">
        <v>942</v>
      </c>
      <c r="H101">
        <v>6594</v>
      </c>
      <c r="I101">
        <v>2500</v>
      </c>
      <c r="J101">
        <v>2023</v>
      </c>
      <c r="K101" t="s">
        <v>6</v>
      </c>
      <c r="L101" t="s">
        <v>47</v>
      </c>
      <c r="M101" s="12" t="str">
        <f t="shared" si="2"/>
        <v>☑</v>
      </c>
      <c r="N101" t="b">
        <f t="shared" si="3"/>
        <v>1</v>
      </c>
    </row>
    <row r="102" spans="1:14" x14ac:dyDescent="0.3">
      <c r="A102">
        <v>101</v>
      </c>
      <c r="B102" t="s">
        <v>45</v>
      </c>
      <c r="C102" t="s">
        <v>12</v>
      </c>
      <c r="D102" t="s">
        <v>27</v>
      </c>
      <c r="E102" s="11">
        <v>45252</v>
      </c>
      <c r="F102">
        <v>8</v>
      </c>
      <c r="G102">
        <v>824</v>
      </c>
      <c r="H102">
        <v>6592</v>
      </c>
      <c r="I102">
        <v>1500</v>
      </c>
      <c r="J102">
        <v>2023</v>
      </c>
      <c r="K102" t="s">
        <v>9</v>
      </c>
      <c r="L102" t="s">
        <v>59</v>
      </c>
      <c r="M102" s="12" t="str">
        <f t="shared" si="2"/>
        <v>☑</v>
      </c>
      <c r="N102" t="b">
        <f t="shared" si="3"/>
        <v>1</v>
      </c>
    </row>
    <row r="103" spans="1:14" x14ac:dyDescent="0.3">
      <c r="A103">
        <v>102</v>
      </c>
      <c r="B103" t="s">
        <v>45</v>
      </c>
      <c r="C103" t="s">
        <v>13</v>
      </c>
      <c r="D103" t="s">
        <v>15</v>
      </c>
      <c r="E103" s="11">
        <v>45242</v>
      </c>
      <c r="F103">
        <v>9</v>
      </c>
      <c r="G103">
        <v>893</v>
      </c>
      <c r="H103">
        <v>8037</v>
      </c>
      <c r="I103">
        <v>2500</v>
      </c>
      <c r="J103">
        <v>2023</v>
      </c>
      <c r="K103" t="s">
        <v>9</v>
      </c>
      <c r="L103" t="s">
        <v>59</v>
      </c>
      <c r="M103" s="12" t="str">
        <f t="shared" si="2"/>
        <v>☑</v>
      </c>
      <c r="N103" t="b">
        <f t="shared" si="3"/>
        <v>1</v>
      </c>
    </row>
    <row r="104" spans="1:14" x14ac:dyDescent="0.3">
      <c r="A104">
        <v>103</v>
      </c>
      <c r="B104" t="s">
        <v>45</v>
      </c>
      <c r="C104" t="s">
        <v>13</v>
      </c>
      <c r="D104" t="s">
        <v>23</v>
      </c>
      <c r="E104" s="11">
        <v>45092</v>
      </c>
      <c r="F104">
        <v>4</v>
      </c>
      <c r="G104">
        <v>950</v>
      </c>
      <c r="H104">
        <v>3800</v>
      </c>
      <c r="I104">
        <v>1000</v>
      </c>
      <c r="J104">
        <v>2023</v>
      </c>
      <c r="K104" t="s">
        <v>7</v>
      </c>
      <c r="L104" t="s">
        <v>52</v>
      </c>
      <c r="M104" s="12" t="str">
        <f t="shared" si="2"/>
        <v>☑</v>
      </c>
      <c r="N104" t="b">
        <f t="shared" si="3"/>
        <v>1</v>
      </c>
    </row>
    <row r="105" spans="1:14" x14ac:dyDescent="0.3">
      <c r="A105">
        <v>104</v>
      </c>
      <c r="B105" t="s">
        <v>50</v>
      </c>
      <c r="C105" t="s">
        <v>11</v>
      </c>
      <c r="D105" t="s">
        <v>24</v>
      </c>
      <c r="E105" s="11">
        <v>45164</v>
      </c>
      <c r="F105">
        <v>10</v>
      </c>
      <c r="G105">
        <v>724</v>
      </c>
      <c r="H105">
        <v>7240</v>
      </c>
      <c r="I105">
        <v>2500</v>
      </c>
      <c r="J105">
        <v>2023</v>
      </c>
      <c r="K105" t="s">
        <v>8</v>
      </c>
      <c r="L105" t="s">
        <v>57</v>
      </c>
      <c r="M105" s="12" t="str">
        <f t="shared" si="2"/>
        <v>☑</v>
      </c>
      <c r="N105" t="b">
        <f t="shared" si="3"/>
        <v>1</v>
      </c>
    </row>
    <row r="106" spans="1:14" x14ac:dyDescent="0.3">
      <c r="A106">
        <v>105</v>
      </c>
      <c r="B106" t="s">
        <v>1</v>
      </c>
      <c r="C106" t="s">
        <v>11</v>
      </c>
      <c r="D106" t="s">
        <v>26</v>
      </c>
      <c r="E106" s="11">
        <v>45093</v>
      </c>
      <c r="F106">
        <v>3</v>
      </c>
      <c r="G106">
        <v>599</v>
      </c>
      <c r="H106">
        <v>1797</v>
      </c>
      <c r="I106">
        <v>1500</v>
      </c>
      <c r="J106">
        <v>2023</v>
      </c>
      <c r="K106" t="s">
        <v>7</v>
      </c>
      <c r="L106" t="s">
        <v>52</v>
      </c>
      <c r="M106" s="12" t="str">
        <f t="shared" si="2"/>
        <v>☑</v>
      </c>
      <c r="N106" t="b">
        <f t="shared" si="3"/>
        <v>1</v>
      </c>
    </row>
    <row r="107" spans="1:14" x14ac:dyDescent="0.3">
      <c r="A107">
        <v>106</v>
      </c>
      <c r="B107" t="s">
        <v>45</v>
      </c>
      <c r="C107" t="s">
        <v>11</v>
      </c>
      <c r="D107" t="s">
        <v>24</v>
      </c>
      <c r="E107" s="11">
        <v>45070</v>
      </c>
      <c r="F107">
        <v>10</v>
      </c>
      <c r="G107">
        <v>818</v>
      </c>
      <c r="H107">
        <v>8180</v>
      </c>
      <c r="I107">
        <v>2000</v>
      </c>
      <c r="J107">
        <v>2023</v>
      </c>
      <c r="K107" t="s">
        <v>7</v>
      </c>
      <c r="L107" t="s">
        <v>46</v>
      </c>
      <c r="M107" s="12" t="str">
        <f t="shared" si="2"/>
        <v>☑</v>
      </c>
      <c r="N107" t="b">
        <f t="shared" si="3"/>
        <v>1</v>
      </c>
    </row>
    <row r="108" spans="1:14" x14ac:dyDescent="0.3">
      <c r="A108">
        <v>107</v>
      </c>
      <c r="B108" t="s">
        <v>50</v>
      </c>
      <c r="C108" t="s">
        <v>10</v>
      </c>
      <c r="D108" t="s">
        <v>17</v>
      </c>
      <c r="E108" s="11">
        <v>44970</v>
      </c>
      <c r="F108">
        <v>4</v>
      </c>
      <c r="G108">
        <v>837</v>
      </c>
      <c r="H108">
        <v>3348</v>
      </c>
      <c r="I108">
        <v>2500</v>
      </c>
      <c r="J108">
        <v>2023</v>
      </c>
      <c r="K108" t="s">
        <v>6</v>
      </c>
      <c r="L108" t="s">
        <v>55</v>
      </c>
      <c r="M108" s="12" t="str">
        <f t="shared" si="2"/>
        <v>☑</v>
      </c>
      <c r="N108" t="b">
        <f t="shared" si="3"/>
        <v>1</v>
      </c>
    </row>
    <row r="109" spans="1:14" x14ac:dyDescent="0.3">
      <c r="A109">
        <v>108</v>
      </c>
      <c r="B109" t="s">
        <v>50</v>
      </c>
      <c r="C109" t="s">
        <v>13</v>
      </c>
      <c r="D109" t="s">
        <v>18</v>
      </c>
      <c r="E109" s="11">
        <v>45280</v>
      </c>
      <c r="F109">
        <v>8</v>
      </c>
      <c r="G109">
        <v>761</v>
      </c>
      <c r="H109">
        <v>6088</v>
      </c>
      <c r="I109">
        <v>2500</v>
      </c>
      <c r="J109">
        <v>2023</v>
      </c>
      <c r="K109" t="s">
        <v>9</v>
      </c>
      <c r="L109" t="s">
        <v>54</v>
      </c>
      <c r="M109" s="12" t="str">
        <f t="shared" si="2"/>
        <v>☑</v>
      </c>
      <c r="N109" t="b">
        <f t="shared" si="3"/>
        <v>1</v>
      </c>
    </row>
    <row r="110" spans="1:14" x14ac:dyDescent="0.3">
      <c r="A110">
        <v>109</v>
      </c>
      <c r="B110" t="s">
        <v>48</v>
      </c>
      <c r="C110" t="s">
        <v>13</v>
      </c>
      <c r="D110" t="s">
        <v>15</v>
      </c>
      <c r="E110" s="11">
        <v>45077</v>
      </c>
      <c r="F110">
        <v>4</v>
      </c>
      <c r="G110">
        <v>514</v>
      </c>
      <c r="H110">
        <v>2056</v>
      </c>
      <c r="I110">
        <v>1500</v>
      </c>
      <c r="J110">
        <v>2023</v>
      </c>
      <c r="K110" t="s">
        <v>7</v>
      </c>
      <c r="L110" t="s">
        <v>46</v>
      </c>
      <c r="M110" s="12" t="str">
        <f t="shared" si="2"/>
        <v>☑</v>
      </c>
      <c r="N110" t="b">
        <f t="shared" si="3"/>
        <v>1</v>
      </c>
    </row>
    <row r="111" spans="1:14" x14ac:dyDescent="0.3">
      <c r="A111">
        <v>110</v>
      </c>
      <c r="B111" t="s">
        <v>45</v>
      </c>
      <c r="C111" t="s">
        <v>11</v>
      </c>
      <c r="D111" t="s">
        <v>21</v>
      </c>
      <c r="E111" s="11">
        <v>45169</v>
      </c>
      <c r="F111">
        <v>9</v>
      </c>
      <c r="G111">
        <v>643</v>
      </c>
      <c r="H111">
        <v>5787</v>
      </c>
      <c r="I111">
        <v>2000</v>
      </c>
      <c r="J111">
        <v>2023</v>
      </c>
      <c r="K111" t="s">
        <v>8</v>
      </c>
      <c r="L111" t="s">
        <v>57</v>
      </c>
      <c r="M111" s="12" t="str">
        <f t="shared" si="2"/>
        <v>☑</v>
      </c>
      <c r="N111" t="b">
        <f t="shared" si="3"/>
        <v>1</v>
      </c>
    </row>
    <row r="112" spans="1:14" x14ac:dyDescent="0.3">
      <c r="A112">
        <v>111</v>
      </c>
      <c r="B112" t="s">
        <v>45</v>
      </c>
      <c r="C112" t="s">
        <v>13</v>
      </c>
      <c r="D112" t="s">
        <v>18</v>
      </c>
      <c r="E112" s="11">
        <v>45107</v>
      </c>
      <c r="F112">
        <v>8</v>
      </c>
      <c r="G112">
        <v>377</v>
      </c>
      <c r="H112">
        <v>3016</v>
      </c>
      <c r="I112">
        <v>2000</v>
      </c>
      <c r="J112">
        <v>2023</v>
      </c>
      <c r="K112" t="s">
        <v>7</v>
      </c>
      <c r="L112" t="s">
        <v>52</v>
      </c>
      <c r="M112" s="12" t="str">
        <f t="shared" si="2"/>
        <v>☑</v>
      </c>
      <c r="N112" t="b">
        <f t="shared" si="3"/>
        <v>1</v>
      </c>
    </row>
    <row r="113" spans="1:14" x14ac:dyDescent="0.3">
      <c r="A113">
        <v>112</v>
      </c>
      <c r="B113" t="s">
        <v>48</v>
      </c>
      <c r="C113" t="s">
        <v>11</v>
      </c>
      <c r="D113" t="s">
        <v>26</v>
      </c>
      <c r="E113" s="11">
        <v>45025</v>
      </c>
      <c r="F113">
        <v>6</v>
      </c>
      <c r="G113">
        <v>222</v>
      </c>
      <c r="H113">
        <v>1332</v>
      </c>
      <c r="I113">
        <v>1500</v>
      </c>
      <c r="J113">
        <v>2023</v>
      </c>
      <c r="K113" t="s">
        <v>7</v>
      </c>
      <c r="L113" t="s">
        <v>51</v>
      </c>
      <c r="M113" s="12" t="str">
        <f t="shared" si="2"/>
        <v>☐</v>
      </c>
      <c r="N113" t="b">
        <f t="shared" si="3"/>
        <v>0</v>
      </c>
    </row>
    <row r="114" spans="1:14" x14ac:dyDescent="0.3">
      <c r="A114">
        <v>113</v>
      </c>
      <c r="B114" t="s">
        <v>1</v>
      </c>
      <c r="C114" t="s">
        <v>14</v>
      </c>
      <c r="D114" t="s">
        <v>16</v>
      </c>
      <c r="E114" s="11">
        <v>45068</v>
      </c>
      <c r="F114">
        <v>10</v>
      </c>
      <c r="G114">
        <v>878</v>
      </c>
      <c r="H114">
        <v>8780</v>
      </c>
      <c r="I114">
        <v>2000</v>
      </c>
      <c r="J114">
        <v>2023</v>
      </c>
      <c r="K114" t="s">
        <v>7</v>
      </c>
      <c r="L114" t="s">
        <v>46</v>
      </c>
      <c r="M114" s="12" t="str">
        <f t="shared" si="2"/>
        <v>☑</v>
      </c>
      <c r="N114" t="b">
        <f t="shared" si="3"/>
        <v>1</v>
      </c>
    </row>
    <row r="115" spans="1:14" x14ac:dyDescent="0.3">
      <c r="A115">
        <v>114</v>
      </c>
      <c r="B115" t="s">
        <v>45</v>
      </c>
      <c r="C115" t="s">
        <v>12</v>
      </c>
      <c r="D115" t="s">
        <v>22</v>
      </c>
      <c r="E115" s="11">
        <v>45043</v>
      </c>
      <c r="F115">
        <v>6</v>
      </c>
      <c r="G115">
        <v>283</v>
      </c>
      <c r="H115">
        <v>1698</v>
      </c>
      <c r="I115">
        <v>2000</v>
      </c>
      <c r="J115">
        <v>2023</v>
      </c>
      <c r="K115" t="s">
        <v>7</v>
      </c>
      <c r="L115" t="s">
        <v>51</v>
      </c>
      <c r="M115" s="12" t="str">
        <f t="shared" si="2"/>
        <v>☐</v>
      </c>
      <c r="N115" t="b">
        <f t="shared" si="3"/>
        <v>0</v>
      </c>
    </row>
    <row r="116" spans="1:14" x14ac:dyDescent="0.3">
      <c r="A116">
        <v>115</v>
      </c>
      <c r="B116" t="s">
        <v>50</v>
      </c>
      <c r="C116" t="s">
        <v>12</v>
      </c>
      <c r="D116" t="s">
        <v>19</v>
      </c>
      <c r="E116" s="11">
        <v>45067</v>
      </c>
      <c r="F116">
        <v>1</v>
      </c>
      <c r="G116">
        <v>155</v>
      </c>
      <c r="H116">
        <v>155</v>
      </c>
      <c r="I116">
        <v>2000</v>
      </c>
      <c r="J116">
        <v>2023</v>
      </c>
      <c r="K116" t="s">
        <v>7</v>
      </c>
      <c r="L116" t="s">
        <v>46</v>
      </c>
      <c r="M116" s="12" t="str">
        <f t="shared" si="2"/>
        <v>☐</v>
      </c>
      <c r="N116" t="b">
        <f t="shared" si="3"/>
        <v>0</v>
      </c>
    </row>
    <row r="117" spans="1:14" x14ac:dyDescent="0.3">
      <c r="A117">
        <v>116</v>
      </c>
      <c r="B117" t="s">
        <v>1</v>
      </c>
      <c r="C117" t="s">
        <v>14</v>
      </c>
      <c r="D117" t="s">
        <v>28</v>
      </c>
      <c r="E117" s="11">
        <v>44979</v>
      </c>
      <c r="F117">
        <v>1</v>
      </c>
      <c r="G117">
        <v>687</v>
      </c>
      <c r="H117">
        <v>687</v>
      </c>
      <c r="I117">
        <v>2000</v>
      </c>
      <c r="J117">
        <v>2023</v>
      </c>
      <c r="K117" t="s">
        <v>6</v>
      </c>
      <c r="L117" t="s">
        <v>55</v>
      </c>
      <c r="M117" s="12" t="str">
        <f t="shared" si="2"/>
        <v>☐</v>
      </c>
      <c r="N117" t="b">
        <f t="shared" si="3"/>
        <v>0</v>
      </c>
    </row>
    <row r="118" spans="1:14" x14ac:dyDescent="0.3">
      <c r="A118">
        <v>117</v>
      </c>
      <c r="B118" t="s">
        <v>1</v>
      </c>
      <c r="C118" t="s">
        <v>13</v>
      </c>
      <c r="D118" t="s">
        <v>23</v>
      </c>
      <c r="E118" s="11">
        <v>45101</v>
      </c>
      <c r="F118">
        <v>3</v>
      </c>
      <c r="G118">
        <v>152</v>
      </c>
      <c r="H118">
        <v>456</v>
      </c>
      <c r="I118">
        <v>2000</v>
      </c>
      <c r="J118">
        <v>2023</v>
      </c>
      <c r="K118" t="s">
        <v>7</v>
      </c>
      <c r="L118" t="s">
        <v>52</v>
      </c>
      <c r="M118" s="12" t="str">
        <f t="shared" si="2"/>
        <v>☐</v>
      </c>
      <c r="N118" t="b">
        <f t="shared" si="3"/>
        <v>0</v>
      </c>
    </row>
    <row r="119" spans="1:14" x14ac:dyDescent="0.3">
      <c r="A119">
        <v>118</v>
      </c>
      <c r="B119" t="s">
        <v>48</v>
      </c>
      <c r="C119" t="s">
        <v>13</v>
      </c>
      <c r="D119" t="s">
        <v>15</v>
      </c>
      <c r="E119" s="11">
        <v>45132</v>
      </c>
      <c r="F119">
        <v>8</v>
      </c>
      <c r="G119">
        <v>175</v>
      </c>
      <c r="H119">
        <v>1400</v>
      </c>
      <c r="I119">
        <v>1000</v>
      </c>
      <c r="J119">
        <v>2023</v>
      </c>
      <c r="K119" t="s">
        <v>8</v>
      </c>
      <c r="L119" t="s">
        <v>53</v>
      </c>
      <c r="M119" s="12" t="str">
        <f t="shared" si="2"/>
        <v>☑</v>
      </c>
      <c r="N119" t="b">
        <f t="shared" si="3"/>
        <v>1</v>
      </c>
    </row>
    <row r="120" spans="1:14" x14ac:dyDescent="0.3">
      <c r="A120">
        <v>119</v>
      </c>
      <c r="B120" t="s">
        <v>45</v>
      </c>
      <c r="C120" t="s">
        <v>14</v>
      </c>
      <c r="D120" t="s">
        <v>16</v>
      </c>
      <c r="E120" s="11">
        <v>44970</v>
      </c>
      <c r="F120">
        <v>4</v>
      </c>
      <c r="G120">
        <v>221</v>
      </c>
      <c r="H120">
        <v>884</v>
      </c>
      <c r="I120">
        <v>2500</v>
      </c>
      <c r="J120">
        <v>2023</v>
      </c>
      <c r="K120" t="s">
        <v>6</v>
      </c>
      <c r="L120" t="s">
        <v>55</v>
      </c>
      <c r="M120" s="12" t="str">
        <f t="shared" si="2"/>
        <v>☐</v>
      </c>
      <c r="N120" t="b">
        <f t="shared" si="3"/>
        <v>0</v>
      </c>
    </row>
    <row r="121" spans="1:14" x14ac:dyDescent="0.3">
      <c r="A121">
        <v>120</v>
      </c>
      <c r="B121" t="s">
        <v>50</v>
      </c>
      <c r="C121" t="s">
        <v>10</v>
      </c>
      <c r="D121" t="s">
        <v>20</v>
      </c>
      <c r="E121" s="11">
        <v>45194</v>
      </c>
      <c r="F121">
        <v>7</v>
      </c>
      <c r="G121">
        <v>561</v>
      </c>
      <c r="H121">
        <v>3927</v>
      </c>
      <c r="I121">
        <v>2500</v>
      </c>
      <c r="J121">
        <v>2023</v>
      </c>
      <c r="K121" t="s">
        <v>8</v>
      </c>
      <c r="L121" t="s">
        <v>58</v>
      </c>
      <c r="M121" s="12" t="str">
        <f t="shared" si="2"/>
        <v>☑</v>
      </c>
      <c r="N121" t="b">
        <f t="shared" si="3"/>
        <v>1</v>
      </c>
    </row>
    <row r="122" spans="1:14" x14ac:dyDescent="0.3">
      <c r="A122">
        <v>121</v>
      </c>
      <c r="B122" t="s">
        <v>1</v>
      </c>
      <c r="C122" t="s">
        <v>11</v>
      </c>
      <c r="D122" t="s">
        <v>21</v>
      </c>
      <c r="E122" s="11">
        <v>45083</v>
      </c>
      <c r="F122">
        <v>10</v>
      </c>
      <c r="G122">
        <v>735</v>
      </c>
      <c r="H122">
        <v>7350</v>
      </c>
      <c r="I122">
        <v>1000</v>
      </c>
      <c r="J122">
        <v>2023</v>
      </c>
      <c r="K122" t="s">
        <v>7</v>
      </c>
      <c r="L122" t="s">
        <v>52</v>
      </c>
      <c r="M122" s="12" t="str">
        <f t="shared" si="2"/>
        <v>☑</v>
      </c>
      <c r="N122" t="b">
        <f t="shared" si="3"/>
        <v>1</v>
      </c>
    </row>
    <row r="123" spans="1:14" x14ac:dyDescent="0.3">
      <c r="A123">
        <v>122</v>
      </c>
      <c r="B123" t="s">
        <v>48</v>
      </c>
      <c r="C123" t="s">
        <v>10</v>
      </c>
      <c r="D123" t="s">
        <v>20</v>
      </c>
      <c r="E123" s="11">
        <v>45033</v>
      </c>
      <c r="F123">
        <v>4</v>
      </c>
      <c r="G123">
        <v>370</v>
      </c>
      <c r="H123">
        <v>1480</v>
      </c>
      <c r="I123">
        <v>1000</v>
      </c>
      <c r="J123">
        <v>2023</v>
      </c>
      <c r="K123" t="s">
        <v>7</v>
      </c>
      <c r="L123" t="s">
        <v>51</v>
      </c>
      <c r="M123" s="12" t="str">
        <f t="shared" si="2"/>
        <v>☑</v>
      </c>
      <c r="N123" t="b">
        <f t="shared" si="3"/>
        <v>1</v>
      </c>
    </row>
    <row r="124" spans="1:14" x14ac:dyDescent="0.3">
      <c r="A124">
        <v>123</v>
      </c>
      <c r="B124" t="s">
        <v>50</v>
      </c>
      <c r="C124" t="s">
        <v>14</v>
      </c>
      <c r="D124" t="s">
        <v>16</v>
      </c>
      <c r="E124" s="11">
        <v>45209</v>
      </c>
      <c r="F124">
        <v>2</v>
      </c>
      <c r="G124">
        <v>260</v>
      </c>
      <c r="H124">
        <v>520</v>
      </c>
      <c r="I124">
        <v>1000</v>
      </c>
      <c r="J124">
        <v>2023</v>
      </c>
      <c r="K124" t="s">
        <v>9</v>
      </c>
      <c r="L124" t="s">
        <v>49</v>
      </c>
      <c r="M124" s="12" t="str">
        <f t="shared" si="2"/>
        <v>☐</v>
      </c>
      <c r="N124" t="b">
        <f t="shared" si="3"/>
        <v>0</v>
      </c>
    </row>
    <row r="125" spans="1:14" x14ac:dyDescent="0.3">
      <c r="A125">
        <v>124</v>
      </c>
      <c r="B125" t="s">
        <v>1</v>
      </c>
      <c r="C125" t="s">
        <v>13</v>
      </c>
      <c r="D125" t="s">
        <v>23</v>
      </c>
      <c r="E125" s="11">
        <v>45076</v>
      </c>
      <c r="F125">
        <v>1</v>
      </c>
      <c r="G125">
        <v>337</v>
      </c>
      <c r="H125">
        <v>337</v>
      </c>
      <c r="I125">
        <v>2000</v>
      </c>
      <c r="J125">
        <v>2023</v>
      </c>
      <c r="K125" t="s">
        <v>7</v>
      </c>
      <c r="L125" t="s">
        <v>46</v>
      </c>
      <c r="M125" s="12" t="str">
        <f t="shared" si="2"/>
        <v>☐</v>
      </c>
      <c r="N125" t="b">
        <f t="shared" si="3"/>
        <v>0</v>
      </c>
    </row>
    <row r="126" spans="1:14" x14ac:dyDescent="0.3">
      <c r="A126">
        <v>125</v>
      </c>
      <c r="B126" t="s">
        <v>1</v>
      </c>
      <c r="C126" t="s">
        <v>11</v>
      </c>
      <c r="D126" t="s">
        <v>21</v>
      </c>
      <c r="E126" s="11">
        <v>44963</v>
      </c>
      <c r="F126">
        <v>4</v>
      </c>
      <c r="G126">
        <v>370</v>
      </c>
      <c r="H126">
        <v>1480</v>
      </c>
      <c r="I126">
        <v>1500</v>
      </c>
      <c r="J126">
        <v>2023</v>
      </c>
      <c r="K126" t="s">
        <v>6</v>
      </c>
      <c r="L126" t="s">
        <v>55</v>
      </c>
      <c r="M126" s="12" t="str">
        <f t="shared" si="2"/>
        <v>☐</v>
      </c>
      <c r="N126" t="b">
        <f t="shared" si="3"/>
        <v>0</v>
      </c>
    </row>
    <row r="127" spans="1:14" x14ac:dyDescent="0.3">
      <c r="A127">
        <v>126</v>
      </c>
      <c r="B127" t="s">
        <v>50</v>
      </c>
      <c r="C127" t="s">
        <v>13</v>
      </c>
      <c r="D127" t="s">
        <v>15</v>
      </c>
      <c r="E127" s="11">
        <v>45258</v>
      </c>
      <c r="F127">
        <v>3</v>
      </c>
      <c r="G127">
        <v>372</v>
      </c>
      <c r="H127">
        <v>1116</v>
      </c>
      <c r="I127">
        <v>1500</v>
      </c>
      <c r="J127">
        <v>2023</v>
      </c>
      <c r="K127" t="s">
        <v>9</v>
      </c>
      <c r="L127" t="s">
        <v>59</v>
      </c>
      <c r="M127" s="12" t="str">
        <f t="shared" si="2"/>
        <v>☐</v>
      </c>
      <c r="N127" t="b">
        <f t="shared" si="3"/>
        <v>0</v>
      </c>
    </row>
    <row r="128" spans="1:14" x14ac:dyDescent="0.3">
      <c r="A128">
        <v>127</v>
      </c>
      <c r="B128" t="s">
        <v>50</v>
      </c>
      <c r="C128" t="s">
        <v>12</v>
      </c>
      <c r="D128" t="s">
        <v>22</v>
      </c>
      <c r="E128" s="11">
        <v>45084</v>
      </c>
      <c r="F128">
        <v>10</v>
      </c>
      <c r="G128">
        <v>866</v>
      </c>
      <c r="H128">
        <v>8660</v>
      </c>
      <c r="I128">
        <v>2000</v>
      </c>
      <c r="J128">
        <v>2023</v>
      </c>
      <c r="K128" t="s">
        <v>7</v>
      </c>
      <c r="L128" t="s">
        <v>52</v>
      </c>
      <c r="M128" s="12" t="str">
        <f t="shared" si="2"/>
        <v>☑</v>
      </c>
      <c r="N128" t="b">
        <f t="shared" si="3"/>
        <v>1</v>
      </c>
    </row>
    <row r="129" spans="1:14" x14ac:dyDescent="0.3">
      <c r="A129">
        <v>128</v>
      </c>
      <c r="B129" t="s">
        <v>1</v>
      </c>
      <c r="C129" t="s">
        <v>13</v>
      </c>
      <c r="D129" t="s">
        <v>15</v>
      </c>
      <c r="E129" s="11">
        <v>45279</v>
      </c>
      <c r="F129">
        <v>5</v>
      </c>
      <c r="G129">
        <v>816</v>
      </c>
      <c r="H129">
        <v>4080</v>
      </c>
      <c r="I129">
        <v>2500</v>
      </c>
      <c r="J129">
        <v>2023</v>
      </c>
      <c r="K129" t="s">
        <v>9</v>
      </c>
      <c r="L129" t="s">
        <v>54</v>
      </c>
      <c r="M129" s="12" t="str">
        <f t="shared" si="2"/>
        <v>☑</v>
      </c>
      <c r="N129" t="b">
        <f t="shared" si="3"/>
        <v>1</v>
      </c>
    </row>
    <row r="130" spans="1:14" x14ac:dyDescent="0.3">
      <c r="A130">
        <v>129</v>
      </c>
      <c r="B130" t="s">
        <v>1</v>
      </c>
      <c r="C130" t="s">
        <v>11</v>
      </c>
      <c r="D130" t="s">
        <v>21</v>
      </c>
      <c r="E130" s="11">
        <v>45151</v>
      </c>
      <c r="F130">
        <v>2</v>
      </c>
      <c r="G130">
        <v>712</v>
      </c>
      <c r="H130">
        <v>1424</v>
      </c>
      <c r="I130">
        <v>1000</v>
      </c>
      <c r="J130">
        <v>2023</v>
      </c>
      <c r="K130" t="s">
        <v>8</v>
      </c>
      <c r="L130" t="s">
        <v>57</v>
      </c>
      <c r="M130" s="12" t="str">
        <f t="shared" si="2"/>
        <v>☑</v>
      </c>
      <c r="N130" t="b">
        <f t="shared" si="3"/>
        <v>1</v>
      </c>
    </row>
    <row r="131" spans="1:14" x14ac:dyDescent="0.3">
      <c r="A131">
        <v>130</v>
      </c>
      <c r="B131" t="s">
        <v>45</v>
      </c>
      <c r="C131" t="s">
        <v>13</v>
      </c>
      <c r="D131" t="s">
        <v>18</v>
      </c>
      <c r="E131" s="11">
        <v>45236</v>
      </c>
      <c r="F131">
        <v>5</v>
      </c>
      <c r="G131">
        <v>126</v>
      </c>
      <c r="H131">
        <v>630</v>
      </c>
      <c r="I131">
        <v>1000</v>
      </c>
      <c r="J131">
        <v>2023</v>
      </c>
      <c r="K131" t="s">
        <v>9</v>
      </c>
      <c r="L131" t="s">
        <v>59</v>
      </c>
      <c r="M131" s="12" t="str">
        <f t="shared" ref="M131:M194" si="4">IF(H131&gt;=I131,"☑","☐")</f>
        <v>☐</v>
      </c>
      <c r="N131" t="b">
        <f t="shared" ref="N131:N194" si="5">IF(H131&gt;=I131,TRUE,FALSE)</f>
        <v>0</v>
      </c>
    </row>
    <row r="132" spans="1:14" x14ac:dyDescent="0.3">
      <c r="A132">
        <v>131</v>
      </c>
      <c r="B132" t="s">
        <v>48</v>
      </c>
      <c r="C132" t="s">
        <v>14</v>
      </c>
      <c r="D132" t="s">
        <v>28</v>
      </c>
      <c r="E132" s="11">
        <v>45271</v>
      </c>
      <c r="F132">
        <v>5</v>
      </c>
      <c r="G132">
        <v>690</v>
      </c>
      <c r="H132">
        <v>3450</v>
      </c>
      <c r="I132">
        <v>1000</v>
      </c>
      <c r="J132">
        <v>2023</v>
      </c>
      <c r="K132" t="s">
        <v>9</v>
      </c>
      <c r="L132" t="s">
        <v>54</v>
      </c>
      <c r="M132" s="12" t="str">
        <f t="shared" si="4"/>
        <v>☑</v>
      </c>
      <c r="N132" t="b">
        <f t="shared" si="5"/>
        <v>1</v>
      </c>
    </row>
    <row r="133" spans="1:14" x14ac:dyDescent="0.3">
      <c r="A133">
        <v>132</v>
      </c>
      <c r="B133" t="s">
        <v>1</v>
      </c>
      <c r="C133" t="s">
        <v>14</v>
      </c>
      <c r="D133" t="s">
        <v>29</v>
      </c>
      <c r="E133" s="11">
        <v>45069</v>
      </c>
      <c r="F133">
        <v>3</v>
      </c>
      <c r="G133">
        <v>699</v>
      </c>
      <c r="H133">
        <v>2097</v>
      </c>
      <c r="I133">
        <v>2500</v>
      </c>
      <c r="J133">
        <v>2023</v>
      </c>
      <c r="K133" t="s">
        <v>7</v>
      </c>
      <c r="L133" t="s">
        <v>46</v>
      </c>
      <c r="M133" s="12" t="str">
        <f t="shared" si="4"/>
        <v>☐</v>
      </c>
      <c r="N133" t="b">
        <f t="shared" si="5"/>
        <v>0</v>
      </c>
    </row>
    <row r="134" spans="1:14" x14ac:dyDescent="0.3">
      <c r="A134">
        <v>133</v>
      </c>
      <c r="B134" t="s">
        <v>1</v>
      </c>
      <c r="C134" t="s">
        <v>13</v>
      </c>
      <c r="D134" t="s">
        <v>15</v>
      </c>
      <c r="E134" s="11">
        <v>45105</v>
      </c>
      <c r="F134">
        <v>7</v>
      </c>
      <c r="G134">
        <v>441</v>
      </c>
      <c r="H134">
        <v>3087</v>
      </c>
      <c r="I134">
        <v>2000</v>
      </c>
      <c r="J134">
        <v>2023</v>
      </c>
      <c r="K134" t="s">
        <v>7</v>
      </c>
      <c r="L134" t="s">
        <v>52</v>
      </c>
      <c r="M134" s="12" t="str">
        <f t="shared" si="4"/>
        <v>☑</v>
      </c>
      <c r="N134" t="b">
        <f t="shared" si="5"/>
        <v>1</v>
      </c>
    </row>
    <row r="135" spans="1:14" x14ac:dyDescent="0.3">
      <c r="A135">
        <v>134</v>
      </c>
      <c r="B135" t="s">
        <v>45</v>
      </c>
      <c r="C135" t="s">
        <v>12</v>
      </c>
      <c r="D135" t="s">
        <v>22</v>
      </c>
      <c r="E135" s="11">
        <v>45137</v>
      </c>
      <c r="F135">
        <v>8</v>
      </c>
      <c r="G135">
        <v>395</v>
      </c>
      <c r="H135">
        <v>3160</v>
      </c>
      <c r="I135">
        <v>2500</v>
      </c>
      <c r="J135">
        <v>2023</v>
      </c>
      <c r="K135" t="s">
        <v>8</v>
      </c>
      <c r="L135" t="s">
        <v>53</v>
      </c>
      <c r="M135" s="12" t="str">
        <f t="shared" si="4"/>
        <v>☑</v>
      </c>
      <c r="N135" t="b">
        <f t="shared" si="5"/>
        <v>1</v>
      </c>
    </row>
    <row r="136" spans="1:14" x14ac:dyDescent="0.3">
      <c r="A136">
        <v>135</v>
      </c>
      <c r="B136" t="s">
        <v>1</v>
      </c>
      <c r="C136" t="s">
        <v>10</v>
      </c>
      <c r="D136" t="s">
        <v>17</v>
      </c>
      <c r="E136" s="11">
        <v>44972</v>
      </c>
      <c r="F136">
        <v>6</v>
      </c>
      <c r="G136">
        <v>358</v>
      </c>
      <c r="H136">
        <v>2148</v>
      </c>
      <c r="I136">
        <v>2000</v>
      </c>
      <c r="J136">
        <v>2023</v>
      </c>
      <c r="K136" t="s">
        <v>6</v>
      </c>
      <c r="L136" t="s">
        <v>55</v>
      </c>
      <c r="M136" s="12" t="str">
        <f t="shared" si="4"/>
        <v>☑</v>
      </c>
      <c r="N136" t="b">
        <f t="shared" si="5"/>
        <v>1</v>
      </c>
    </row>
    <row r="137" spans="1:14" x14ac:dyDescent="0.3">
      <c r="A137">
        <v>136</v>
      </c>
      <c r="B137" t="s">
        <v>48</v>
      </c>
      <c r="C137" t="s">
        <v>12</v>
      </c>
      <c r="D137" t="s">
        <v>27</v>
      </c>
      <c r="E137" s="11">
        <v>45263</v>
      </c>
      <c r="F137">
        <v>9</v>
      </c>
      <c r="G137">
        <v>573</v>
      </c>
      <c r="H137">
        <v>5157</v>
      </c>
      <c r="I137">
        <v>2500</v>
      </c>
      <c r="J137">
        <v>2023</v>
      </c>
      <c r="K137" t="s">
        <v>9</v>
      </c>
      <c r="L137" t="s">
        <v>54</v>
      </c>
      <c r="M137" s="12" t="str">
        <f t="shared" si="4"/>
        <v>☑</v>
      </c>
      <c r="N137" t="b">
        <f t="shared" si="5"/>
        <v>1</v>
      </c>
    </row>
    <row r="138" spans="1:14" x14ac:dyDescent="0.3">
      <c r="A138">
        <v>137</v>
      </c>
      <c r="B138" t="s">
        <v>45</v>
      </c>
      <c r="C138" t="s">
        <v>12</v>
      </c>
      <c r="D138" t="s">
        <v>22</v>
      </c>
      <c r="E138" s="11">
        <v>45245</v>
      </c>
      <c r="F138">
        <v>8</v>
      </c>
      <c r="G138">
        <v>740</v>
      </c>
      <c r="H138">
        <v>5920</v>
      </c>
      <c r="I138">
        <v>2500</v>
      </c>
      <c r="J138">
        <v>2023</v>
      </c>
      <c r="K138" t="s">
        <v>9</v>
      </c>
      <c r="L138" t="s">
        <v>59</v>
      </c>
      <c r="M138" s="12" t="str">
        <f t="shared" si="4"/>
        <v>☑</v>
      </c>
      <c r="N138" t="b">
        <f t="shared" si="5"/>
        <v>1</v>
      </c>
    </row>
    <row r="139" spans="1:14" x14ac:dyDescent="0.3">
      <c r="A139">
        <v>138</v>
      </c>
      <c r="B139" t="s">
        <v>45</v>
      </c>
      <c r="C139" t="s">
        <v>12</v>
      </c>
      <c r="D139" t="s">
        <v>22</v>
      </c>
      <c r="E139" s="11">
        <v>45208</v>
      </c>
      <c r="F139">
        <v>3</v>
      </c>
      <c r="G139">
        <v>394</v>
      </c>
      <c r="H139">
        <v>1182</v>
      </c>
      <c r="I139">
        <v>2500</v>
      </c>
      <c r="J139">
        <v>2023</v>
      </c>
      <c r="K139" t="s">
        <v>9</v>
      </c>
      <c r="L139" t="s">
        <v>49</v>
      </c>
      <c r="M139" s="12" t="str">
        <f t="shared" si="4"/>
        <v>☐</v>
      </c>
      <c r="N139" t="b">
        <f t="shared" si="5"/>
        <v>0</v>
      </c>
    </row>
    <row r="140" spans="1:14" x14ac:dyDescent="0.3">
      <c r="A140">
        <v>139</v>
      </c>
      <c r="B140" t="s">
        <v>48</v>
      </c>
      <c r="C140" t="s">
        <v>13</v>
      </c>
      <c r="D140" t="s">
        <v>15</v>
      </c>
      <c r="E140" s="11">
        <v>45249</v>
      </c>
      <c r="F140">
        <v>10</v>
      </c>
      <c r="G140">
        <v>918</v>
      </c>
      <c r="H140">
        <v>9180</v>
      </c>
      <c r="I140">
        <v>1500</v>
      </c>
      <c r="J140">
        <v>2023</v>
      </c>
      <c r="K140" t="s">
        <v>9</v>
      </c>
      <c r="L140" t="s">
        <v>59</v>
      </c>
      <c r="M140" s="12" t="str">
        <f t="shared" si="4"/>
        <v>☑</v>
      </c>
      <c r="N140" t="b">
        <f t="shared" si="5"/>
        <v>1</v>
      </c>
    </row>
    <row r="141" spans="1:14" x14ac:dyDescent="0.3">
      <c r="A141">
        <v>140</v>
      </c>
      <c r="B141" t="s">
        <v>48</v>
      </c>
      <c r="C141" t="s">
        <v>14</v>
      </c>
      <c r="D141" t="s">
        <v>29</v>
      </c>
      <c r="E141" s="11">
        <v>45209</v>
      </c>
      <c r="F141">
        <v>7</v>
      </c>
      <c r="G141">
        <v>195</v>
      </c>
      <c r="H141">
        <v>1365</v>
      </c>
      <c r="I141">
        <v>1500</v>
      </c>
      <c r="J141">
        <v>2023</v>
      </c>
      <c r="K141" t="s">
        <v>9</v>
      </c>
      <c r="L141" t="s">
        <v>49</v>
      </c>
      <c r="M141" s="12" t="str">
        <f t="shared" si="4"/>
        <v>☐</v>
      </c>
      <c r="N141" t="b">
        <f t="shared" si="5"/>
        <v>0</v>
      </c>
    </row>
    <row r="142" spans="1:14" x14ac:dyDescent="0.3">
      <c r="A142">
        <v>141</v>
      </c>
      <c r="B142" t="s">
        <v>48</v>
      </c>
      <c r="C142" t="s">
        <v>12</v>
      </c>
      <c r="D142" t="s">
        <v>27</v>
      </c>
      <c r="E142" s="11">
        <v>45258</v>
      </c>
      <c r="F142">
        <v>3</v>
      </c>
      <c r="G142">
        <v>610</v>
      </c>
      <c r="H142">
        <v>1830</v>
      </c>
      <c r="I142">
        <v>2000</v>
      </c>
      <c r="J142">
        <v>2023</v>
      </c>
      <c r="K142" t="s">
        <v>9</v>
      </c>
      <c r="L142" t="s">
        <v>59</v>
      </c>
      <c r="M142" s="12" t="str">
        <f t="shared" si="4"/>
        <v>☐</v>
      </c>
      <c r="N142" t="b">
        <f t="shared" si="5"/>
        <v>0</v>
      </c>
    </row>
    <row r="143" spans="1:14" x14ac:dyDescent="0.3">
      <c r="A143">
        <v>142</v>
      </c>
      <c r="B143" t="s">
        <v>45</v>
      </c>
      <c r="C143" t="s">
        <v>10</v>
      </c>
      <c r="D143" t="s">
        <v>20</v>
      </c>
      <c r="E143" s="11">
        <v>45139</v>
      </c>
      <c r="F143">
        <v>8</v>
      </c>
      <c r="G143">
        <v>583</v>
      </c>
      <c r="H143">
        <v>4664</v>
      </c>
      <c r="I143">
        <v>1500</v>
      </c>
      <c r="J143">
        <v>2023</v>
      </c>
      <c r="K143" t="s">
        <v>8</v>
      </c>
      <c r="L143" t="s">
        <v>57</v>
      </c>
      <c r="M143" s="12" t="str">
        <f t="shared" si="4"/>
        <v>☑</v>
      </c>
      <c r="N143" t="b">
        <f t="shared" si="5"/>
        <v>1</v>
      </c>
    </row>
    <row r="144" spans="1:14" x14ac:dyDescent="0.3">
      <c r="A144">
        <v>143</v>
      </c>
      <c r="B144" t="s">
        <v>50</v>
      </c>
      <c r="C144" t="s">
        <v>13</v>
      </c>
      <c r="D144" t="s">
        <v>18</v>
      </c>
      <c r="E144" s="11">
        <v>45123</v>
      </c>
      <c r="F144">
        <v>4</v>
      </c>
      <c r="G144">
        <v>713</v>
      </c>
      <c r="H144">
        <v>2852</v>
      </c>
      <c r="I144">
        <v>1500</v>
      </c>
      <c r="J144">
        <v>2023</v>
      </c>
      <c r="K144" t="s">
        <v>8</v>
      </c>
      <c r="L144" t="s">
        <v>53</v>
      </c>
      <c r="M144" s="12" t="str">
        <f t="shared" si="4"/>
        <v>☑</v>
      </c>
      <c r="N144" t="b">
        <f t="shared" si="5"/>
        <v>1</v>
      </c>
    </row>
    <row r="145" spans="1:14" x14ac:dyDescent="0.3">
      <c r="A145">
        <v>144</v>
      </c>
      <c r="B145" t="s">
        <v>1</v>
      </c>
      <c r="C145" t="s">
        <v>12</v>
      </c>
      <c r="D145" t="s">
        <v>27</v>
      </c>
      <c r="E145" s="11">
        <v>45101</v>
      </c>
      <c r="F145">
        <v>9</v>
      </c>
      <c r="G145">
        <v>373</v>
      </c>
      <c r="H145">
        <v>3357</v>
      </c>
      <c r="I145">
        <v>1000</v>
      </c>
      <c r="J145">
        <v>2023</v>
      </c>
      <c r="K145" t="s">
        <v>7</v>
      </c>
      <c r="L145" t="s">
        <v>52</v>
      </c>
      <c r="M145" s="12" t="str">
        <f t="shared" si="4"/>
        <v>☑</v>
      </c>
      <c r="N145" t="b">
        <f t="shared" si="5"/>
        <v>1</v>
      </c>
    </row>
    <row r="146" spans="1:14" x14ac:dyDescent="0.3">
      <c r="A146">
        <v>145</v>
      </c>
      <c r="B146" t="s">
        <v>45</v>
      </c>
      <c r="C146" t="s">
        <v>11</v>
      </c>
      <c r="D146" t="s">
        <v>21</v>
      </c>
      <c r="E146" s="11">
        <v>45227</v>
      </c>
      <c r="F146">
        <v>10</v>
      </c>
      <c r="G146">
        <v>775</v>
      </c>
      <c r="H146">
        <v>7750</v>
      </c>
      <c r="I146">
        <v>2500</v>
      </c>
      <c r="J146">
        <v>2023</v>
      </c>
      <c r="K146" t="s">
        <v>9</v>
      </c>
      <c r="L146" t="s">
        <v>49</v>
      </c>
      <c r="M146" s="12" t="str">
        <f t="shared" si="4"/>
        <v>☑</v>
      </c>
      <c r="N146" t="b">
        <f t="shared" si="5"/>
        <v>1</v>
      </c>
    </row>
    <row r="147" spans="1:14" x14ac:dyDescent="0.3">
      <c r="A147">
        <v>146</v>
      </c>
      <c r="B147" t="s">
        <v>1</v>
      </c>
      <c r="C147" t="s">
        <v>14</v>
      </c>
      <c r="D147" t="s">
        <v>29</v>
      </c>
      <c r="E147" s="11">
        <v>45103</v>
      </c>
      <c r="F147">
        <v>6</v>
      </c>
      <c r="G147">
        <v>665</v>
      </c>
      <c r="H147">
        <v>3990</v>
      </c>
      <c r="I147">
        <v>2500</v>
      </c>
      <c r="J147">
        <v>2023</v>
      </c>
      <c r="K147" t="s">
        <v>7</v>
      </c>
      <c r="L147" t="s">
        <v>52</v>
      </c>
      <c r="M147" s="12" t="str">
        <f t="shared" si="4"/>
        <v>☑</v>
      </c>
      <c r="N147" t="b">
        <f t="shared" si="5"/>
        <v>1</v>
      </c>
    </row>
    <row r="148" spans="1:14" x14ac:dyDescent="0.3">
      <c r="A148">
        <v>147</v>
      </c>
      <c r="B148" t="s">
        <v>50</v>
      </c>
      <c r="C148" t="s">
        <v>13</v>
      </c>
      <c r="D148" t="s">
        <v>23</v>
      </c>
      <c r="E148" s="11">
        <v>45284</v>
      </c>
      <c r="F148">
        <v>4</v>
      </c>
      <c r="G148">
        <v>685</v>
      </c>
      <c r="H148">
        <v>2740</v>
      </c>
      <c r="I148">
        <v>2500</v>
      </c>
      <c r="J148">
        <v>2023</v>
      </c>
      <c r="K148" t="s">
        <v>9</v>
      </c>
      <c r="L148" t="s">
        <v>54</v>
      </c>
      <c r="M148" s="12" t="str">
        <f t="shared" si="4"/>
        <v>☑</v>
      </c>
      <c r="N148" t="b">
        <f t="shared" si="5"/>
        <v>1</v>
      </c>
    </row>
    <row r="149" spans="1:14" x14ac:dyDescent="0.3">
      <c r="A149">
        <v>148</v>
      </c>
      <c r="B149" t="s">
        <v>48</v>
      </c>
      <c r="C149" t="s">
        <v>14</v>
      </c>
      <c r="D149" t="s">
        <v>29</v>
      </c>
      <c r="E149" s="11">
        <v>45089</v>
      </c>
      <c r="F149">
        <v>8</v>
      </c>
      <c r="G149">
        <v>822</v>
      </c>
      <c r="H149">
        <v>6576</v>
      </c>
      <c r="I149">
        <v>2500</v>
      </c>
      <c r="J149">
        <v>2023</v>
      </c>
      <c r="K149" t="s">
        <v>7</v>
      </c>
      <c r="L149" t="s">
        <v>52</v>
      </c>
      <c r="M149" s="12" t="str">
        <f t="shared" si="4"/>
        <v>☑</v>
      </c>
      <c r="N149" t="b">
        <f t="shared" si="5"/>
        <v>1</v>
      </c>
    </row>
    <row r="150" spans="1:14" x14ac:dyDescent="0.3">
      <c r="A150">
        <v>149</v>
      </c>
      <c r="B150" t="s">
        <v>50</v>
      </c>
      <c r="C150" t="s">
        <v>13</v>
      </c>
      <c r="D150" t="s">
        <v>18</v>
      </c>
      <c r="E150" s="11">
        <v>45180</v>
      </c>
      <c r="F150">
        <v>1</v>
      </c>
      <c r="G150">
        <v>229</v>
      </c>
      <c r="H150">
        <v>229</v>
      </c>
      <c r="I150">
        <v>2000</v>
      </c>
      <c r="J150">
        <v>2023</v>
      </c>
      <c r="K150" t="s">
        <v>8</v>
      </c>
      <c r="L150" t="s">
        <v>58</v>
      </c>
      <c r="M150" s="12" t="str">
        <f t="shared" si="4"/>
        <v>☐</v>
      </c>
      <c r="N150" t="b">
        <f t="shared" si="5"/>
        <v>0</v>
      </c>
    </row>
    <row r="151" spans="1:14" x14ac:dyDescent="0.3">
      <c r="A151">
        <v>150</v>
      </c>
      <c r="B151" t="s">
        <v>48</v>
      </c>
      <c r="C151" t="s">
        <v>12</v>
      </c>
      <c r="D151" t="s">
        <v>27</v>
      </c>
      <c r="E151" s="11">
        <v>45196</v>
      </c>
      <c r="F151">
        <v>8</v>
      </c>
      <c r="G151">
        <v>115</v>
      </c>
      <c r="H151">
        <v>920</v>
      </c>
      <c r="I151">
        <v>1500</v>
      </c>
      <c r="J151">
        <v>2023</v>
      </c>
      <c r="K151" t="s">
        <v>8</v>
      </c>
      <c r="L151" t="s">
        <v>58</v>
      </c>
      <c r="M151" s="12" t="str">
        <f t="shared" si="4"/>
        <v>☐</v>
      </c>
      <c r="N151" t="b">
        <f t="shared" si="5"/>
        <v>0</v>
      </c>
    </row>
    <row r="152" spans="1:14" x14ac:dyDescent="0.3">
      <c r="A152">
        <v>151</v>
      </c>
      <c r="B152" t="s">
        <v>50</v>
      </c>
      <c r="C152" t="s">
        <v>13</v>
      </c>
      <c r="D152" t="s">
        <v>18</v>
      </c>
      <c r="E152" s="11">
        <v>44965</v>
      </c>
      <c r="F152">
        <v>8</v>
      </c>
      <c r="G152">
        <v>900</v>
      </c>
      <c r="H152">
        <v>7200</v>
      </c>
      <c r="I152">
        <v>2000</v>
      </c>
      <c r="J152">
        <v>2023</v>
      </c>
      <c r="K152" t="s">
        <v>6</v>
      </c>
      <c r="L152" t="s">
        <v>55</v>
      </c>
      <c r="M152" s="12" t="str">
        <f t="shared" si="4"/>
        <v>☑</v>
      </c>
      <c r="N152" t="b">
        <f t="shared" si="5"/>
        <v>1</v>
      </c>
    </row>
    <row r="153" spans="1:14" x14ac:dyDescent="0.3">
      <c r="A153">
        <v>152</v>
      </c>
      <c r="B153" t="s">
        <v>1</v>
      </c>
      <c r="C153" t="s">
        <v>11</v>
      </c>
      <c r="D153" t="s">
        <v>21</v>
      </c>
      <c r="E153" s="11">
        <v>45259</v>
      </c>
      <c r="F153">
        <v>2</v>
      </c>
      <c r="G153">
        <v>972</v>
      </c>
      <c r="H153">
        <v>1944</v>
      </c>
      <c r="I153">
        <v>2000</v>
      </c>
      <c r="J153">
        <v>2023</v>
      </c>
      <c r="K153" t="s">
        <v>9</v>
      </c>
      <c r="L153" t="s">
        <v>59</v>
      </c>
      <c r="M153" s="12" t="str">
        <f t="shared" si="4"/>
        <v>☐</v>
      </c>
      <c r="N153" t="b">
        <f t="shared" si="5"/>
        <v>0</v>
      </c>
    </row>
    <row r="154" spans="1:14" x14ac:dyDescent="0.3">
      <c r="A154">
        <v>153</v>
      </c>
      <c r="B154" t="s">
        <v>45</v>
      </c>
      <c r="C154" t="s">
        <v>10</v>
      </c>
      <c r="D154" t="s">
        <v>25</v>
      </c>
      <c r="E154" s="11">
        <v>45247</v>
      </c>
      <c r="F154">
        <v>8</v>
      </c>
      <c r="G154">
        <v>993</v>
      </c>
      <c r="H154">
        <v>7944</v>
      </c>
      <c r="I154">
        <v>1000</v>
      </c>
      <c r="J154">
        <v>2023</v>
      </c>
      <c r="K154" t="s">
        <v>9</v>
      </c>
      <c r="L154" t="s">
        <v>59</v>
      </c>
      <c r="M154" s="12" t="str">
        <f t="shared" si="4"/>
        <v>☑</v>
      </c>
      <c r="N154" t="b">
        <f t="shared" si="5"/>
        <v>1</v>
      </c>
    </row>
    <row r="155" spans="1:14" x14ac:dyDescent="0.3">
      <c r="A155">
        <v>154</v>
      </c>
      <c r="B155" t="s">
        <v>50</v>
      </c>
      <c r="C155" t="s">
        <v>10</v>
      </c>
      <c r="D155" t="s">
        <v>17</v>
      </c>
      <c r="E155" s="11">
        <v>45250</v>
      </c>
      <c r="F155">
        <v>5</v>
      </c>
      <c r="G155">
        <v>332</v>
      </c>
      <c r="H155">
        <v>1660</v>
      </c>
      <c r="I155">
        <v>1000</v>
      </c>
      <c r="J155">
        <v>2023</v>
      </c>
      <c r="K155" t="s">
        <v>9</v>
      </c>
      <c r="L155" t="s">
        <v>59</v>
      </c>
      <c r="M155" s="12" t="str">
        <f t="shared" si="4"/>
        <v>☑</v>
      </c>
      <c r="N155" t="b">
        <f t="shared" si="5"/>
        <v>1</v>
      </c>
    </row>
    <row r="156" spans="1:14" x14ac:dyDescent="0.3">
      <c r="A156">
        <v>155</v>
      </c>
      <c r="B156" t="s">
        <v>48</v>
      </c>
      <c r="C156" t="s">
        <v>13</v>
      </c>
      <c r="D156" t="s">
        <v>15</v>
      </c>
      <c r="E156" s="11">
        <v>45154</v>
      </c>
      <c r="F156">
        <v>3</v>
      </c>
      <c r="G156">
        <v>810</v>
      </c>
      <c r="H156">
        <v>2430</v>
      </c>
      <c r="I156">
        <v>2000</v>
      </c>
      <c r="J156">
        <v>2023</v>
      </c>
      <c r="K156" t="s">
        <v>8</v>
      </c>
      <c r="L156" t="s">
        <v>57</v>
      </c>
      <c r="M156" s="12" t="str">
        <f t="shared" si="4"/>
        <v>☑</v>
      </c>
      <c r="N156" t="b">
        <f t="shared" si="5"/>
        <v>1</v>
      </c>
    </row>
    <row r="157" spans="1:14" x14ac:dyDescent="0.3">
      <c r="A157">
        <v>156</v>
      </c>
      <c r="B157" t="s">
        <v>45</v>
      </c>
      <c r="C157" t="s">
        <v>12</v>
      </c>
      <c r="D157" t="s">
        <v>22</v>
      </c>
      <c r="E157" s="11">
        <v>44955</v>
      </c>
      <c r="F157">
        <v>5</v>
      </c>
      <c r="G157">
        <v>467</v>
      </c>
      <c r="H157">
        <v>2335</v>
      </c>
      <c r="I157">
        <v>2000</v>
      </c>
      <c r="J157">
        <v>2023</v>
      </c>
      <c r="K157" t="s">
        <v>6</v>
      </c>
      <c r="L157" t="s">
        <v>47</v>
      </c>
      <c r="M157" s="12" t="str">
        <f t="shared" si="4"/>
        <v>☑</v>
      </c>
      <c r="N157" t="b">
        <f t="shared" si="5"/>
        <v>1</v>
      </c>
    </row>
    <row r="158" spans="1:14" x14ac:dyDescent="0.3">
      <c r="A158">
        <v>157</v>
      </c>
      <c r="B158" t="s">
        <v>50</v>
      </c>
      <c r="C158" t="s">
        <v>13</v>
      </c>
      <c r="D158" t="s">
        <v>15</v>
      </c>
      <c r="E158" s="11">
        <v>45198</v>
      </c>
      <c r="F158">
        <v>7</v>
      </c>
      <c r="G158">
        <v>679</v>
      </c>
      <c r="H158">
        <v>4753</v>
      </c>
      <c r="I158">
        <v>1500</v>
      </c>
      <c r="J158">
        <v>2023</v>
      </c>
      <c r="K158" t="s">
        <v>8</v>
      </c>
      <c r="L158" t="s">
        <v>58</v>
      </c>
      <c r="M158" s="12" t="str">
        <f t="shared" si="4"/>
        <v>☑</v>
      </c>
      <c r="N158" t="b">
        <f t="shared" si="5"/>
        <v>1</v>
      </c>
    </row>
    <row r="159" spans="1:14" x14ac:dyDescent="0.3">
      <c r="A159">
        <v>158</v>
      </c>
      <c r="B159" t="s">
        <v>48</v>
      </c>
      <c r="C159" t="s">
        <v>14</v>
      </c>
      <c r="D159" t="s">
        <v>16</v>
      </c>
      <c r="E159" s="11">
        <v>45239</v>
      </c>
      <c r="F159">
        <v>7</v>
      </c>
      <c r="G159">
        <v>734</v>
      </c>
      <c r="H159">
        <v>5138</v>
      </c>
      <c r="I159">
        <v>1500</v>
      </c>
      <c r="J159">
        <v>2023</v>
      </c>
      <c r="K159" t="s">
        <v>9</v>
      </c>
      <c r="L159" t="s">
        <v>59</v>
      </c>
      <c r="M159" s="12" t="str">
        <f t="shared" si="4"/>
        <v>☑</v>
      </c>
      <c r="N159" t="b">
        <f t="shared" si="5"/>
        <v>1</v>
      </c>
    </row>
    <row r="160" spans="1:14" x14ac:dyDescent="0.3">
      <c r="A160">
        <v>159</v>
      </c>
      <c r="B160" t="s">
        <v>50</v>
      </c>
      <c r="C160" t="s">
        <v>13</v>
      </c>
      <c r="D160" t="s">
        <v>18</v>
      </c>
      <c r="E160" s="11">
        <v>45045</v>
      </c>
      <c r="F160">
        <v>8</v>
      </c>
      <c r="G160">
        <v>753</v>
      </c>
      <c r="H160">
        <v>6024</v>
      </c>
      <c r="I160">
        <v>2000</v>
      </c>
      <c r="J160">
        <v>2023</v>
      </c>
      <c r="K160" t="s">
        <v>7</v>
      </c>
      <c r="L160" t="s">
        <v>51</v>
      </c>
      <c r="M160" s="12" t="str">
        <f t="shared" si="4"/>
        <v>☑</v>
      </c>
      <c r="N160" t="b">
        <f t="shared" si="5"/>
        <v>1</v>
      </c>
    </row>
    <row r="161" spans="1:14" x14ac:dyDescent="0.3">
      <c r="A161">
        <v>160</v>
      </c>
      <c r="B161" t="s">
        <v>48</v>
      </c>
      <c r="C161" t="s">
        <v>13</v>
      </c>
      <c r="D161" t="s">
        <v>23</v>
      </c>
      <c r="E161" s="11">
        <v>45165</v>
      </c>
      <c r="F161">
        <v>5</v>
      </c>
      <c r="G161">
        <v>793</v>
      </c>
      <c r="H161">
        <v>3965</v>
      </c>
      <c r="I161">
        <v>1500</v>
      </c>
      <c r="J161">
        <v>2023</v>
      </c>
      <c r="K161" t="s">
        <v>8</v>
      </c>
      <c r="L161" t="s">
        <v>57</v>
      </c>
      <c r="M161" s="12" t="str">
        <f t="shared" si="4"/>
        <v>☑</v>
      </c>
      <c r="N161" t="b">
        <f t="shared" si="5"/>
        <v>1</v>
      </c>
    </row>
    <row r="162" spans="1:14" x14ac:dyDescent="0.3">
      <c r="A162">
        <v>161</v>
      </c>
      <c r="B162" t="s">
        <v>45</v>
      </c>
      <c r="C162" t="s">
        <v>12</v>
      </c>
      <c r="D162" t="s">
        <v>27</v>
      </c>
      <c r="E162" s="11">
        <v>45227</v>
      </c>
      <c r="F162">
        <v>5</v>
      </c>
      <c r="G162">
        <v>754</v>
      </c>
      <c r="H162">
        <v>3770</v>
      </c>
      <c r="I162">
        <v>2500</v>
      </c>
      <c r="J162">
        <v>2023</v>
      </c>
      <c r="K162" t="s">
        <v>9</v>
      </c>
      <c r="L162" t="s">
        <v>49</v>
      </c>
      <c r="M162" s="12" t="str">
        <f t="shared" si="4"/>
        <v>☑</v>
      </c>
      <c r="N162" t="b">
        <f t="shared" si="5"/>
        <v>1</v>
      </c>
    </row>
    <row r="163" spans="1:14" x14ac:dyDescent="0.3">
      <c r="A163">
        <v>162</v>
      </c>
      <c r="B163" t="s">
        <v>45</v>
      </c>
      <c r="C163" t="s">
        <v>11</v>
      </c>
      <c r="D163" t="s">
        <v>24</v>
      </c>
      <c r="E163" s="11">
        <v>45028</v>
      </c>
      <c r="F163">
        <v>7</v>
      </c>
      <c r="G163">
        <v>973</v>
      </c>
      <c r="H163">
        <v>6811</v>
      </c>
      <c r="I163">
        <v>2500</v>
      </c>
      <c r="J163">
        <v>2023</v>
      </c>
      <c r="K163" t="s">
        <v>7</v>
      </c>
      <c r="L163" t="s">
        <v>51</v>
      </c>
      <c r="M163" s="12" t="str">
        <f t="shared" si="4"/>
        <v>☑</v>
      </c>
      <c r="N163" t="b">
        <f t="shared" si="5"/>
        <v>1</v>
      </c>
    </row>
    <row r="164" spans="1:14" x14ac:dyDescent="0.3">
      <c r="A164">
        <v>163</v>
      </c>
      <c r="B164" t="s">
        <v>1</v>
      </c>
      <c r="C164" t="s">
        <v>12</v>
      </c>
      <c r="D164" t="s">
        <v>22</v>
      </c>
      <c r="E164" s="11">
        <v>45219</v>
      </c>
      <c r="F164">
        <v>6</v>
      </c>
      <c r="G164">
        <v>688</v>
      </c>
      <c r="H164">
        <v>4128</v>
      </c>
      <c r="I164">
        <v>2000</v>
      </c>
      <c r="J164">
        <v>2023</v>
      </c>
      <c r="K164" t="s">
        <v>9</v>
      </c>
      <c r="L164" t="s">
        <v>49</v>
      </c>
      <c r="M164" s="12" t="str">
        <f t="shared" si="4"/>
        <v>☑</v>
      </c>
      <c r="N164" t="b">
        <f t="shared" si="5"/>
        <v>1</v>
      </c>
    </row>
    <row r="165" spans="1:14" x14ac:dyDescent="0.3">
      <c r="A165">
        <v>164</v>
      </c>
      <c r="B165" t="s">
        <v>1</v>
      </c>
      <c r="C165" t="s">
        <v>11</v>
      </c>
      <c r="D165" t="s">
        <v>26</v>
      </c>
      <c r="E165" s="11">
        <v>45067</v>
      </c>
      <c r="F165">
        <v>1</v>
      </c>
      <c r="G165">
        <v>679</v>
      </c>
      <c r="H165">
        <v>679</v>
      </c>
      <c r="I165">
        <v>1000</v>
      </c>
      <c r="J165">
        <v>2023</v>
      </c>
      <c r="K165" t="s">
        <v>7</v>
      </c>
      <c r="L165" t="s">
        <v>46</v>
      </c>
      <c r="M165" s="12" t="str">
        <f t="shared" si="4"/>
        <v>☐</v>
      </c>
      <c r="N165" t="b">
        <f t="shared" si="5"/>
        <v>0</v>
      </c>
    </row>
    <row r="166" spans="1:14" x14ac:dyDescent="0.3">
      <c r="A166">
        <v>165</v>
      </c>
      <c r="B166" t="s">
        <v>1</v>
      </c>
      <c r="C166" t="s">
        <v>10</v>
      </c>
      <c r="D166" t="s">
        <v>20</v>
      </c>
      <c r="E166" s="11">
        <v>45073</v>
      </c>
      <c r="F166">
        <v>4</v>
      </c>
      <c r="G166">
        <v>721</v>
      </c>
      <c r="H166">
        <v>2884</v>
      </c>
      <c r="I166">
        <v>2000</v>
      </c>
      <c r="J166">
        <v>2023</v>
      </c>
      <c r="K166" t="s">
        <v>7</v>
      </c>
      <c r="L166" t="s">
        <v>46</v>
      </c>
      <c r="M166" s="12" t="str">
        <f t="shared" si="4"/>
        <v>☑</v>
      </c>
      <c r="N166" t="b">
        <f t="shared" si="5"/>
        <v>1</v>
      </c>
    </row>
    <row r="167" spans="1:14" x14ac:dyDescent="0.3">
      <c r="A167">
        <v>166</v>
      </c>
      <c r="B167" t="s">
        <v>50</v>
      </c>
      <c r="C167" t="s">
        <v>14</v>
      </c>
      <c r="D167" t="s">
        <v>28</v>
      </c>
      <c r="E167" s="11">
        <v>45244</v>
      </c>
      <c r="F167">
        <v>5</v>
      </c>
      <c r="G167">
        <v>794</v>
      </c>
      <c r="H167">
        <v>3970</v>
      </c>
      <c r="I167">
        <v>1500</v>
      </c>
      <c r="J167">
        <v>2023</v>
      </c>
      <c r="K167" t="s">
        <v>9</v>
      </c>
      <c r="L167" t="s">
        <v>59</v>
      </c>
      <c r="M167" s="12" t="str">
        <f t="shared" si="4"/>
        <v>☑</v>
      </c>
      <c r="N167" t="b">
        <f t="shared" si="5"/>
        <v>1</v>
      </c>
    </row>
    <row r="168" spans="1:14" x14ac:dyDescent="0.3">
      <c r="A168">
        <v>167</v>
      </c>
      <c r="B168" t="s">
        <v>48</v>
      </c>
      <c r="C168" t="s">
        <v>12</v>
      </c>
      <c r="D168" t="s">
        <v>19</v>
      </c>
      <c r="E168" s="11">
        <v>45085</v>
      </c>
      <c r="F168">
        <v>8</v>
      </c>
      <c r="G168">
        <v>134</v>
      </c>
      <c r="H168">
        <v>1072</v>
      </c>
      <c r="I168">
        <v>2000</v>
      </c>
      <c r="J168">
        <v>2023</v>
      </c>
      <c r="K168" t="s">
        <v>7</v>
      </c>
      <c r="L168" t="s">
        <v>52</v>
      </c>
      <c r="M168" s="12" t="str">
        <f t="shared" si="4"/>
        <v>☐</v>
      </c>
      <c r="N168" t="b">
        <f t="shared" si="5"/>
        <v>0</v>
      </c>
    </row>
    <row r="169" spans="1:14" x14ac:dyDescent="0.3">
      <c r="A169">
        <v>168</v>
      </c>
      <c r="B169" t="s">
        <v>45</v>
      </c>
      <c r="C169" t="s">
        <v>14</v>
      </c>
      <c r="D169" t="s">
        <v>16</v>
      </c>
      <c r="E169" s="11">
        <v>45094</v>
      </c>
      <c r="F169">
        <v>7</v>
      </c>
      <c r="G169">
        <v>279</v>
      </c>
      <c r="H169">
        <v>1953</v>
      </c>
      <c r="I169">
        <v>1500</v>
      </c>
      <c r="J169">
        <v>2023</v>
      </c>
      <c r="K169" t="s">
        <v>7</v>
      </c>
      <c r="L169" t="s">
        <v>52</v>
      </c>
      <c r="M169" s="12" t="str">
        <f t="shared" si="4"/>
        <v>☑</v>
      </c>
      <c r="N169" t="b">
        <f t="shared" si="5"/>
        <v>1</v>
      </c>
    </row>
    <row r="170" spans="1:14" x14ac:dyDescent="0.3">
      <c r="A170">
        <v>169</v>
      </c>
      <c r="B170" t="s">
        <v>45</v>
      </c>
      <c r="C170" t="s">
        <v>14</v>
      </c>
      <c r="D170" t="s">
        <v>28</v>
      </c>
      <c r="E170" s="11">
        <v>45198</v>
      </c>
      <c r="F170">
        <v>9</v>
      </c>
      <c r="G170">
        <v>379</v>
      </c>
      <c r="H170">
        <v>3411</v>
      </c>
      <c r="I170">
        <v>1500</v>
      </c>
      <c r="J170">
        <v>2023</v>
      </c>
      <c r="K170" t="s">
        <v>8</v>
      </c>
      <c r="L170" t="s">
        <v>58</v>
      </c>
      <c r="M170" s="12" t="str">
        <f t="shared" si="4"/>
        <v>☑</v>
      </c>
      <c r="N170" t="b">
        <f t="shared" si="5"/>
        <v>1</v>
      </c>
    </row>
    <row r="171" spans="1:14" x14ac:dyDescent="0.3">
      <c r="A171">
        <v>170</v>
      </c>
      <c r="B171" t="s">
        <v>45</v>
      </c>
      <c r="C171" t="s">
        <v>11</v>
      </c>
      <c r="D171" t="s">
        <v>24</v>
      </c>
      <c r="E171" s="11">
        <v>45100</v>
      </c>
      <c r="F171">
        <v>2</v>
      </c>
      <c r="G171">
        <v>579</v>
      </c>
      <c r="H171">
        <v>1158</v>
      </c>
      <c r="I171">
        <v>1000</v>
      </c>
      <c r="J171">
        <v>2023</v>
      </c>
      <c r="K171" t="s">
        <v>7</v>
      </c>
      <c r="L171" t="s">
        <v>52</v>
      </c>
      <c r="M171" s="12" t="str">
        <f t="shared" si="4"/>
        <v>☑</v>
      </c>
      <c r="N171" t="b">
        <f t="shared" si="5"/>
        <v>1</v>
      </c>
    </row>
    <row r="172" spans="1:14" x14ac:dyDescent="0.3">
      <c r="A172">
        <v>171</v>
      </c>
      <c r="B172" t="s">
        <v>1</v>
      </c>
      <c r="C172" t="s">
        <v>14</v>
      </c>
      <c r="D172" t="s">
        <v>16</v>
      </c>
      <c r="E172" s="11">
        <v>45212</v>
      </c>
      <c r="F172">
        <v>6</v>
      </c>
      <c r="G172">
        <v>192</v>
      </c>
      <c r="H172">
        <v>1152</v>
      </c>
      <c r="I172">
        <v>2500</v>
      </c>
      <c r="J172">
        <v>2023</v>
      </c>
      <c r="K172" t="s">
        <v>9</v>
      </c>
      <c r="L172" t="s">
        <v>49</v>
      </c>
      <c r="M172" s="12" t="str">
        <f t="shared" si="4"/>
        <v>☐</v>
      </c>
      <c r="N172" t="b">
        <f t="shared" si="5"/>
        <v>0</v>
      </c>
    </row>
    <row r="173" spans="1:14" x14ac:dyDescent="0.3">
      <c r="A173">
        <v>172</v>
      </c>
      <c r="B173" t="s">
        <v>48</v>
      </c>
      <c r="C173" t="s">
        <v>12</v>
      </c>
      <c r="D173" t="s">
        <v>27</v>
      </c>
      <c r="E173" s="11">
        <v>45159</v>
      </c>
      <c r="F173">
        <v>6</v>
      </c>
      <c r="G173">
        <v>788</v>
      </c>
      <c r="H173">
        <v>4728</v>
      </c>
      <c r="I173">
        <v>2000</v>
      </c>
      <c r="J173">
        <v>2023</v>
      </c>
      <c r="K173" t="s">
        <v>8</v>
      </c>
      <c r="L173" t="s">
        <v>57</v>
      </c>
      <c r="M173" s="12" t="str">
        <f t="shared" si="4"/>
        <v>☑</v>
      </c>
      <c r="N173" t="b">
        <f t="shared" si="5"/>
        <v>1</v>
      </c>
    </row>
    <row r="174" spans="1:14" x14ac:dyDescent="0.3">
      <c r="A174">
        <v>173</v>
      </c>
      <c r="B174" t="s">
        <v>45</v>
      </c>
      <c r="C174" t="s">
        <v>10</v>
      </c>
      <c r="D174" t="s">
        <v>25</v>
      </c>
      <c r="E174" s="11">
        <v>44982</v>
      </c>
      <c r="F174">
        <v>4</v>
      </c>
      <c r="G174">
        <v>582</v>
      </c>
      <c r="H174">
        <v>2328</v>
      </c>
      <c r="I174">
        <v>1000</v>
      </c>
      <c r="J174">
        <v>2023</v>
      </c>
      <c r="K174" t="s">
        <v>6</v>
      </c>
      <c r="L174" t="s">
        <v>55</v>
      </c>
      <c r="M174" s="12" t="str">
        <f t="shared" si="4"/>
        <v>☑</v>
      </c>
      <c r="N174" t="b">
        <f t="shared" si="5"/>
        <v>1</v>
      </c>
    </row>
    <row r="175" spans="1:14" x14ac:dyDescent="0.3">
      <c r="A175">
        <v>174</v>
      </c>
      <c r="B175" t="s">
        <v>45</v>
      </c>
      <c r="C175" t="s">
        <v>10</v>
      </c>
      <c r="D175" t="s">
        <v>20</v>
      </c>
      <c r="E175" s="11">
        <v>45239</v>
      </c>
      <c r="F175">
        <v>4</v>
      </c>
      <c r="G175">
        <v>763</v>
      </c>
      <c r="H175">
        <v>3052</v>
      </c>
      <c r="I175">
        <v>1000</v>
      </c>
      <c r="J175">
        <v>2023</v>
      </c>
      <c r="K175" t="s">
        <v>9</v>
      </c>
      <c r="L175" t="s">
        <v>59</v>
      </c>
      <c r="M175" s="12" t="str">
        <f t="shared" si="4"/>
        <v>☑</v>
      </c>
      <c r="N175" t="b">
        <f t="shared" si="5"/>
        <v>1</v>
      </c>
    </row>
    <row r="176" spans="1:14" x14ac:dyDescent="0.3">
      <c r="A176">
        <v>175</v>
      </c>
      <c r="B176" t="s">
        <v>45</v>
      </c>
      <c r="C176" t="s">
        <v>13</v>
      </c>
      <c r="D176" t="s">
        <v>18</v>
      </c>
      <c r="E176" s="11">
        <v>45259</v>
      </c>
      <c r="F176">
        <v>7</v>
      </c>
      <c r="G176">
        <v>219</v>
      </c>
      <c r="H176">
        <v>1533</v>
      </c>
      <c r="I176">
        <v>1500</v>
      </c>
      <c r="J176">
        <v>2023</v>
      </c>
      <c r="K176" t="s">
        <v>9</v>
      </c>
      <c r="L176" t="s">
        <v>59</v>
      </c>
      <c r="M176" s="12" t="str">
        <f t="shared" si="4"/>
        <v>☑</v>
      </c>
      <c r="N176" t="b">
        <f t="shared" si="5"/>
        <v>1</v>
      </c>
    </row>
    <row r="177" spans="1:14" x14ac:dyDescent="0.3">
      <c r="A177">
        <v>176</v>
      </c>
      <c r="B177" t="s">
        <v>45</v>
      </c>
      <c r="C177" t="s">
        <v>12</v>
      </c>
      <c r="D177" t="s">
        <v>22</v>
      </c>
      <c r="E177" s="11">
        <v>45179</v>
      </c>
      <c r="F177">
        <v>2</v>
      </c>
      <c r="G177">
        <v>199</v>
      </c>
      <c r="H177">
        <v>398</v>
      </c>
      <c r="I177">
        <v>1500</v>
      </c>
      <c r="J177">
        <v>2023</v>
      </c>
      <c r="K177" t="s">
        <v>8</v>
      </c>
      <c r="L177" t="s">
        <v>58</v>
      </c>
      <c r="M177" s="12" t="str">
        <f t="shared" si="4"/>
        <v>☐</v>
      </c>
      <c r="N177" t="b">
        <f t="shared" si="5"/>
        <v>0</v>
      </c>
    </row>
    <row r="178" spans="1:14" x14ac:dyDescent="0.3">
      <c r="A178">
        <v>177</v>
      </c>
      <c r="B178" t="s">
        <v>1</v>
      </c>
      <c r="C178" t="s">
        <v>10</v>
      </c>
      <c r="D178" t="s">
        <v>17</v>
      </c>
      <c r="E178" s="11">
        <v>45159</v>
      </c>
      <c r="F178">
        <v>6</v>
      </c>
      <c r="G178">
        <v>786</v>
      </c>
      <c r="H178">
        <v>4716</v>
      </c>
      <c r="I178">
        <v>2500</v>
      </c>
      <c r="J178">
        <v>2023</v>
      </c>
      <c r="K178" t="s">
        <v>8</v>
      </c>
      <c r="L178" t="s">
        <v>57</v>
      </c>
      <c r="M178" s="12" t="str">
        <f t="shared" si="4"/>
        <v>☑</v>
      </c>
      <c r="N178" t="b">
        <f t="shared" si="5"/>
        <v>1</v>
      </c>
    </row>
    <row r="179" spans="1:14" x14ac:dyDescent="0.3">
      <c r="A179">
        <v>178</v>
      </c>
      <c r="B179" t="s">
        <v>50</v>
      </c>
      <c r="C179" t="s">
        <v>10</v>
      </c>
      <c r="D179" t="s">
        <v>20</v>
      </c>
      <c r="E179" s="11">
        <v>45139</v>
      </c>
      <c r="F179">
        <v>2</v>
      </c>
      <c r="G179">
        <v>953</v>
      </c>
      <c r="H179">
        <v>1906</v>
      </c>
      <c r="I179">
        <v>2500</v>
      </c>
      <c r="J179">
        <v>2023</v>
      </c>
      <c r="K179" t="s">
        <v>8</v>
      </c>
      <c r="L179" t="s">
        <v>57</v>
      </c>
      <c r="M179" s="12" t="str">
        <f t="shared" si="4"/>
        <v>☐</v>
      </c>
      <c r="N179" t="b">
        <f t="shared" si="5"/>
        <v>0</v>
      </c>
    </row>
    <row r="180" spans="1:14" x14ac:dyDescent="0.3">
      <c r="A180">
        <v>179</v>
      </c>
      <c r="B180" t="s">
        <v>45</v>
      </c>
      <c r="C180" t="s">
        <v>10</v>
      </c>
      <c r="D180" t="s">
        <v>25</v>
      </c>
      <c r="E180" s="11">
        <v>44943</v>
      </c>
      <c r="F180">
        <v>6</v>
      </c>
      <c r="G180">
        <v>322</v>
      </c>
      <c r="H180">
        <v>1932</v>
      </c>
      <c r="I180">
        <v>2500</v>
      </c>
      <c r="J180">
        <v>2023</v>
      </c>
      <c r="K180" t="s">
        <v>6</v>
      </c>
      <c r="L180" t="s">
        <v>47</v>
      </c>
      <c r="M180" s="12" t="str">
        <f t="shared" si="4"/>
        <v>☐</v>
      </c>
      <c r="N180" t="b">
        <f t="shared" si="5"/>
        <v>0</v>
      </c>
    </row>
    <row r="181" spans="1:14" x14ac:dyDescent="0.3">
      <c r="A181">
        <v>180</v>
      </c>
      <c r="B181" t="s">
        <v>45</v>
      </c>
      <c r="C181" t="s">
        <v>13</v>
      </c>
      <c r="D181" t="s">
        <v>15</v>
      </c>
      <c r="E181" s="11">
        <v>44977</v>
      </c>
      <c r="F181">
        <v>6</v>
      </c>
      <c r="G181">
        <v>657</v>
      </c>
      <c r="H181">
        <v>3942</v>
      </c>
      <c r="I181">
        <v>2000</v>
      </c>
      <c r="J181">
        <v>2023</v>
      </c>
      <c r="K181" t="s">
        <v>6</v>
      </c>
      <c r="L181" t="s">
        <v>55</v>
      </c>
      <c r="M181" s="12" t="str">
        <f t="shared" si="4"/>
        <v>☑</v>
      </c>
      <c r="N181" t="b">
        <f t="shared" si="5"/>
        <v>1</v>
      </c>
    </row>
    <row r="182" spans="1:14" x14ac:dyDescent="0.3">
      <c r="A182">
        <v>181</v>
      </c>
      <c r="B182" t="s">
        <v>45</v>
      </c>
      <c r="C182" t="s">
        <v>12</v>
      </c>
      <c r="D182" t="s">
        <v>27</v>
      </c>
      <c r="E182" s="11">
        <v>45024</v>
      </c>
      <c r="F182">
        <v>2</v>
      </c>
      <c r="G182">
        <v>968</v>
      </c>
      <c r="H182">
        <v>1936</v>
      </c>
      <c r="I182">
        <v>2500</v>
      </c>
      <c r="J182">
        <v>2023</v>
      </c>
      <c r="K182" t="s">
        <v>7</v>
      </c>
      <c r="L182" t="s">
        <v>51</v>
      </c>
      <c r="M182" s="12" t="str">
        <f t="shared" si="4"/>
        <v>☐</v>
      </c>
      <c r="N182" t="b">
        <f t="shared" si="5"/>
        <v>0</v>
      </c>
    </row>
    <row r="183" spans="1:14" x14ac:dyDescent="0.3">
      <c r="A183">
        <v>182</v>
      </c>
      <c r="B183" t="s">
        <v>50</v>
      </c>
      <c r="C183" t="s">
        <v>12</v>
      </c>
      <c r="D183" t="s">
        <v>19</v>
      </c>
      <c r="E183" s="11">
        <v>45255</v>
      </c>
      <c r="F183">
        <v>10</v>
      </c>
      <c r="G183">
        <v>121</v>
      </c>
      <c r="H183">
        <v>1210</v>
      </c>
      <c r="I183">
        <v>1000</v>
      </c>
      <c r="J183">
        <v>2023</v>
      </c>
      <c r="K183" t="s">
        <v>9</v>
      </c>
      <c r="L183" t="s">
        <v>59</v>
      </c>
      <c r="M183" s="12" t="str">
        <f t="shared" si="4"/>
        <v>☑</v>
      </c>
      <c r="N183" t="b">
        <f t="shared" si="5"/>
        <v>1</v>
      </c>
    </row>
    <row r="184" spans="1:14" x14ac:dyDescent="0.3">
      <c r="A184">
        <v>183</v>
      </c>
      <c r="B184" t="s">
        <v>50</v>
      </c>
      <c r="C184" t="s">
        <v>11</v>
      </c>
      <c r="D184" t="s">
        <v>26</v>
      </c>
      <c r="E184" s="11">
        <v>45216</v>
      </c>
      <c r="F184">
        <v>4</v>
      </c>
      <c r="G184">
        <v>170</v>
      </c>
      <c r="H184">
        <v>680</v>
      </c>
      <c r="I184">
        <v>1500</v>
      </c>
      <c r="J184">
        <v>2023</v>
      </c>
      <c r="K184" t="s">
        <v>9</v>
      </c>
      <c r="L184" t="s">
        <v>49</v>
      </c>
      <c r="M184" s="12" t="str">
        <f t="shared" si="4"/>
        <v>☐</v>
      </c>
      <c r="N184" t="b">
        <f t="shared" si="5"/>
        <v>0</v>
      </c>
    </row>
    <row r="185" spans="1:14" x14ac:dyDescent="0.3">
      <c r="A185">
        <v>184</v>
      </c>
      <c r="B185" t="s">
        <v>50</v>
      </c>
      <c r="C185" t="s">
        <v>10</v>
      </c>
      <c r="D185" t="s">
        <v>17</v>
      </c>
      <c r="E185" s="11">
        <v>45095</v>
      </c>
      <c r="F185">
        <v>3</v>
      </c>
      <c r="G185">
        <v>907</v>
      </c>
      <c r="H185">
        <v>2721</v>
      </c>
      <c r="I185">
        <v>1000</v>
      </c>
      <c r="J185">
        <v>2023</v>
      </c>
      <c r="K185" t="s">
        <v>7</v>
      </c>
      <c r="L185" t="s">
        <v>52</v>
      </c>
      <c r="M185" s="12" t="str">
        <f t="shared" si="4"/>
        <v>☑</v>
      </c>
      <c r="N185" t="b">
        <f t="shared" si="5"/>
        <v>1</v>
      </c>
    </row>
    <row r="186" spans="1:14" x14ac:dyDescent="0.3">
      <c r="A186">
        <v>185</v>
      </c>
      <c r="B186" t="s">
        <v>50</v>
      </c>
      <c r="C186" t="s">
        <v>11</v>
      </c>
      <c r="D186" t="s">
        <v>26</v>
      </c>
      <c r="E186" s="11">
        <v>45203</v>
      </c>
      <c r="F186">
        <v>5</v>
      </c>
      <c r="G186">
        <v>917</v>
      </c>
      <c r="H186">
        <v>4585</v>
      </c>
      <c r="I186">
        <v>1500</v>
      </c>
      <c r="J186">
        <v>2023</v>
      </c>
      <c r="K186" t="s">
        <v>9</v>
      </c>
      <c r="L186" t="s">
        <v>49</v>
      </c>
      <c r="M186" s="12" t="str">
        <f t="shared" si="4"/>
        <v>☑</v>
      </c>
      <c r="N186" t="b">
        <f t="shared" si="5"/>
        <v>1</v>
      </c>
    </row>
    <row r="187" spans="1:14" x14ac:dyDescent="0.3">
      <c r="A187">
        <v>186</v>
      </c>
      <c r="B187" t="s">
        <v>48</v>
      </c>
      <c r="C187" t="s">
        <v>12</v>
      </c>
      <c r="D187" t="s">
        <v>19</v>
      </c>
      <c r="E187" s="11">
        <v>44994</v>
      </c>
      <c r="F187">
        <v>1</v>
      </c>
      <c r="G187">
        <v>466</v>
      </c>
      <c r="H187">
        <v>466</v>
      </c>
      <c r="I187">
        <v>1500</v>
      </c>
      <c r="J187">
        <v>2023</v>
      </c>
      <c r="K187" t="s">
        <v>6</v>
      </c>
      <c r="L187" t="s">
        <v>56</v>
      </c>
      <c r="M187" s="12" t="str">
        <f t="shared" si="4"/>
        <v>☐</v>
      </c>
      <c r="N187" t="b">
        <f t="shared" si="5"/>
        <v>0</v>
      </c>
    </row>
    <row r="188" spans="1:14" x14ac:dyDescent="0.3">
      <c r="A188">
        <v>187</v>
      </c>
      <c r="B188" t="s">
        <v>48</v>
      </c>
      <c r="C188" t="s">
        <v>10</v>
      </c>
      <c r="D188" t="s">
        <v>25</v>
      </c>
      <c r="E188" s="11">
        <v>45016</v>
      </c>
      <c r="F188">
        <v>5</v>
      </c>
      <c r="G188">
        <v>153</v>
      </c>
      <c r="H188">
        <v>765</v>
      </c>
      <c r="I188">
        <v>1500</v>
      </c>
      <c r="J188">
        <v>2023</v>
      </c>
      <c r="K188" t="s">
        <v>6</v>
      </c>
      <c r="L188" t="s">
        <v>56</v>
      </c>
      <c r="M188" s="12" t="str">
        <f t="shared" si="4"/>
        <v>☐</v>
      </c>
      <c r="N188" t="b">
        <f t="shared" si="5"/>
        <v>0</v>
      </c>
    </row>
    <row r="189" spans="1:14" x14ac:dyDescent="0.3">
      <c r="A189">
        <v>188</v>
      </c>
      <c r="B189" t="s">
        <v>48</v>
      </c>
      <c r="C189" t="s">
        <v>13</v>
      </c>
      <c r="D189" t="s">
        <v>18</v>
      </c>
      <c r="E189" s="11">
        <v>44959</v>
      </c>
      <c r="F189">
        <v>8</v>
      </c>
      <c r="G189">
        <v>559</v>
      </c>
      <c r="H189">
        <v>4472</v>
      </c>
      <c r="I189">
        <v>2000</v>
      </c>
      <c r="J189">
        <v>2023</v>
      </c>
      <c r="K189" t="s">
        <v>6</v>
      </c>
      <c r="L189" t="s">
        <v>55</v>
      </c>
      <c r="M189" s="12" t="str">
        <f t="shared" si="4"/>
        <v>☑</v>
      </c>
      <c r="N189" t="b">
        <f t="shared" si="5"/>
        <v>1</v>
      </c>
    </row>
    <row r="190" spans="1:14" x14ac:dyDescent="0.3">
      <c r="A190">
        <v>189</v>
      </c>
      <c r="B190" t="s">
        <v>48</v>
      </c>
      <c r="C190" t="s">
        <v>10</v>
      </c>
      <c r="D190" t="s">
        <v>20</v>
      </c>
      <c r="E190" s="11">
        <v>45158</v>
      </c>
      <c r="F190">
        <v>9</v>
      </c>
      <c r="G190">
        <v>326</v>
      </c>
      <c r="H190">
        <v>2934</v>
      </c>
      <c r="I190">
        <v>1000</v>
      </c>
      <c r="J190">
        <v>2023</v>
      </c>
      <c r="K190" t="s">
        <v>8</v>
      </c>
      <c r="L190" t="s">
        <v>57</v>
      </c>
      <c r="M190" s="12" t="str">
        <f t="shared" si="4"/>
        <v>☑</v>
      </c>
      <c r="N190" t="b">
        <f t="shared" si="5"/>
        <v>1</v>
      </c>
    </row>
    <row r="191" spans="1:14" x14ac:dyDescent="0.3">
      <c r="A191">
        <v>190</v>
      </c>
      <c r="B191" t="s">
        <v>1</v>
      </c>
      <c r="C191" t="s">
        <v>10</v>
      </c>
      <c r="D191" t="s">
        <v>25</v>
      </c>
      <c r="E191" s="11">
        <v>45256</v>
      </c>
      <c r="F191">
        <v>1</v>
      </c>
      <c r="G191">
        <v>162</v>
      </c>
      <c r="H191">
        <v>162</v>
      </c>
      <c r="I191">
        <v>2500</v>
      </c>
      <c r="J191">
        <v>2023</v>
      </c>
      <c r="K191" t="s">
        <v>9</v>
      </c>
      <c r="L191" t="s">
        <v>59</v>
      </c>
      <c r="M191" s="12" t="str">
        <f t="shared" si="4"/>
        <v>☐</v>
      </c>
      <c r="N191" t="b">
        <f t="shared" si="5"/>
        <v>0</v>
      </c>
    </row>
    <row r="192" spans="1:14" x14ac:dyDescent="0.3">
      <c r="A192">
        <v>191</v>
      </c>
      <c r="B192" t="s">
        <v>48</v>
      </c>
      <c r="C192" t="s">
        <v>13</v>
      </c>
      <c r="D192" t="s">
        <v>23</v>
      </c>
      <c r="E192" s="11">
        <v>45178</v>
      </c>
      <c r="F192">
        <v>8</v>
      </c>
      <c r="G192">
        <v>175</v>
      </c>
      <c r="H192">
        <v>1400</v>
      </c>
      <c r="I192">
        <v>1000</v>
      </c>
      <c r="J192">
        <v>2023</v>
      </c>
      <c r="K192" t="s">
        <v>8</v>
      </c>
      <c r="L192" t="s">
        <v>58</v>
      </c>
      <c r="M192" s="12" t="str">
        <f t="shared" si="4"/>
        <v>☑</v>
      </c>
      <c r="N192" t="b">
        <f t="shared" si="5"/>
        <v>1</v>
      </c>
    </row>
    <row r="193" spans="1:14" x14ac:dyDescent="0.3">
      <c r="A193">
        <v>192</v>
      </c>
      <c r="B193" t="s">
        <v>50</v>
      </c>
      <c r="C193" t="s">
        <v>11</v>
      </c>
      <c r="D193" t="s">
        <v>21</v>
      </c>
      <c r="E193" s="11">
        <v>44960</v>
      </c>
      <c r="F193">
        <v>3</v>
      </c>
      <c r="G193">
        <v>381</v>
      </c>
      <c r="H193">
        <v>1143</v>
      </c>
      <c r="I193">
        <v>2000</v>
      </c>
      <c r="J193">
        <v>2023</v>
      </c>
      <c r="K193" t="s">
        <v>6</v>
      </c>
      <c r="L193" t="s">
        <v>55</v>
      </c>
      <c r="M193" s="12" t="str">
        <f t="shared" si="4"/>
        <v>☐</v>
      </c>
      <c r="N193" t="b">
        <f t="shared" si="5"/>
        <v>0</v>
      </c>
    </row>
    <row r="194" spans="1:14" x14ac:dyDescent="0.3">
      <c r="A194">
        <v>193</v>
      </c>
      <c r="B194" t="s">
        <v>45</v>
      </c>
      <c r="C194" t="s">
        <v>13</v>
      </c>
      <c r="D194" t="s">
        <v>18</v>
      </c>
      <c r="E194" s="11">
        <v>45159</v>
      </c>
      <c r="F194">
        <v>9</v>
      </c>
      <c r="G194">
        <v>719</v>
      </c>
      <c r="H194">
        <v>6471</v>
      </c>
      <c r="I194">
        <v>2500</v>
      </c>
      <c r="J194">
        <v>2023</v>
      </c>
      <c r="K194" t="s">
        <v>8</v>
      </c>
      <c r="L194" t="s">
        <v>57</v>
      </c>
      <c r="M194" s="12" t="str">
        <f t="shared" si="4"/>
        <v>☑</v>
      </c>
      <c r="N194" t="b">
        <f t="shared" si="5"/>
        <v>1</v>
      </c>
    </row>
    <row r="195" spans="1:14" x14ac:dyDescent="0.3">
      <c r="A195">
        <v>194</v>
      </c>
      <c r="B195" t="s">
        <v>48</v>
      </c>
      <c r="C195" t="s">
        <v>12</v>
      </c>
      <c r="D195" t="s">
        <v>19</v>
      </c>
      <c r="E195" s="11">
        <v>45262</v>
      </c>
      <c r="F195">
        <v>9</v>
      </c>
      <c r="G195">
        <v>838</v>
      </c>
      <c r="H195">
        <v>7542</v>
      </c>
      <c r="I195">
        <v>1500</v>
      </c>
      <c r="J195">
        <v>2023</v>
      </c>
      <c r="K195" t="s">
        <v>9</v>
      </c>
      <c r="L195" t="s">
        <v>54</v>
      </c>
      <c r="M195" s="12" t="str">
        <f t="shared" ref="M195:M201" si="6">IF(H195&gt;=I195,"☑","☐")</f>
        <v>☑</v>
      </c>
      <c r="N195" t="b">
        <f t="shared" ref="N195:N201" si="7">IF(H195&gt;=I195,TRUE,FALSE)</f>
        <v>1</v>
      </c>
    </row>
    <row r="196" spans="1:14" x14ac:dyDescent="0.3">
      <c r="A196">
        <v>195</v>
      </c>
      <c r="B196" t="s">
        <v>50</v>
      </c>
      <c r="C196" t="s">
        <v>13</v>
      </c>
      <c r="D196" t="s">
        <v>23</v>
      </c>
      <c r="E196" s="11">
        <v>45138</v>
      </c>
      <c r="F196">
        <v>6</v>
      </c>
      <c r="G196">
        <v>947</v>
      </c>
      <c r="H196">
        <v>5682</v>
      </c>
      <c r="I196">
        <v>2500</v>
      </c>
      <c r="J196">
        <v>2023</v>
      </c>
      <c r="K196" t="s">
        <v>8</v>
      </c>
      <c r="L196" t="s">
        <v>53</v>
      </c>
      <c r="M196" s="12" t="str">
        <f t="shared" si="6"/>
        <v>☑</v>
      </c>
      <c r="N196" t="b">
        <f t="shared" si="7"/>
        <v>1</v>
      </c>
    </row>
    <row r="197" spans="1:14" x14ac:dyDescent="0.3">
      <c r="A197">
        <v>196</v>
      </c>
      <c r="B197" t="s">
        <v>48</v>
      </c>
      <c r="C197" t="s">
        <v>13</v>
      </c>
      <c r="D197" t="s">
        <v>23</v>
      </c>
      <c r="E197" s="11">
        <v>45087</v>
      </c>
      <c r="F197">
        <v>7</v>
      </c>
      <c r="G197">
        <v>420</v>
      </c>
      <c r="H197">
        <v>2940</v>
      </c>
      <c r="I197">
        <v>2000</v>
      </c>
      <c r="J197">
        <v>2023</v>
      </c>
      <c r="K197" t="s">
        <v>7</v>
      </c>
      <c r="L197" t="s">
        <v>52</v>
      </c>
      <c r="M197" s="12" t="str">
        <f t="shared" si="6"/>
        <v>☑</v>
      </c>
      <c r="N197" t="b">
        <f t="shared" si="7"/>
        <v>1</v>
      </c>
    </row>
    <row r="198" spans="1:14" x14ac:dyDescent="0.3">
      <c r="A198">
        <v>197</v>
      </c>
      <c r="B198" t="s">
        <v>1</v>
      </c>
      <c r="C198" t="s">
        <v>11</v>
      </c>
      <c r="D198" t="s">
        <v>26</v>
      </c>
      <c r="E198" s="11">
        <v>44961</v>
      </c>
      <c r="F198">
        <v>2</v>
      </c>
      <c r="G198">
        <v>951</v>
      </c>
      <c r="H198">
        <v>1902</v>
      </c>
      <c r="I198">
        <v>1000</v>
      </c>
      <c r="J198">
        <v>2023</v>
      </c>
      <c r="K198" t="s">
        <v>6</v>
      </c>
      <c r="L198" t="s">
        <v>55</v>
      </c>
      <c r="M198" s="12" t="str">
        <f t="shared" si="6"/>
        <v>☑</v>
      </c>
      <c r="N198" t="b">
        <f t="shared" si="7"/>
        <v>1</v>
      </c>
    </row>
    <row r="199" spans="1:14" x14ac:dyDescent="0.3">
      <c r="A199">
        <v>198</v>
      </c>
      <c r="B199" t="s">
        <v>48</v>
      </c>
      <c r="C199" t="s">
        <v>12</v>
      </c>
      <c r="D199" t="s">
        <v>27</v>
      </c>
      <c r="E199" s="11">
        <v>45117</v>
      </c>
      <c r="F199">
        <v>3</v>
      </c>
      <c r="G199">
        <v>669</v>
      </c>
      <c r="H199">
        <v>2007</v>
      </c>
      <c r="I199">
        <v>1000</v>
      </c>
      <c r="J199">
        <v>2023</v>
      </c>
      <c r="K199" t="s">
        <v>8</v>
      </c>
      <c r="L199" t="s">
        <v>53</v>
      </c>
      <c r="M199" s="12" t="str">
        <f t="shared" si="6"/>
        <v>☑</v>
      </c>
      <c r="N199" t="b">
        <f t="shared" si="7"/>
        <v>1</v>
      </c>
    </row>
    <row r="200" spans="1:14" x14ac:dyDescent="0.3">
      <c r="A200">
        <v>199</v>
      </c>
      <c r="B200" t="s">
        <v>45</v>
      </c>
      <c r="C200" t="s">
        <v>10</v>
      </c>
      <c r="D200" t="s">
        <v>20</v>
      </c>
      <c r="E200" s="11">
        <v>45270</v>
      </c>
      <c r="F200">
        <v>2</v>
      </c>
      <c r="G200">
        <v>520</v>
      </c>
      <c r="H200">
        <v>1040</v>
      </c>
      <c r="I200">
        <v>2000</v>
      </c>
      <c r="J200">
        <v>2023</v>
      </c>
      <c r="K200" t="s">
        <v>9</v>
      </c>
      <c r="L200" t="s">
        <v>54</v>
      </c>
      <c r="M200" s="12" t="str">
        <f t="shared" si="6"/>
        <v>☐</v>
      </c>
      <c r="N200" t="b">
        <f t="shared" si="7"/>
        <v>0</v>
      </c>
    </row>
    <row r="201" spans="1:14" x14ac:dyDescent="0.3">
      <c r="A201">
        <v>200</v>
      </c>
      <c r="B201" t="s">
        <v>48</v>
      </c>
      <c r="C201" t="s">
        <v>13</v>
      </c>
      <c r="D201" t="s">
        <v>18</v>
      </c>
      <c r="E201" s="11">
        <v>45074</v>
      </c>
      <c r="F201">
        <v>10</v>
      </c>
      <c r="G201">
        <v>419</v>
      </c>
      <c r="H201">
        <v>4190</v>
      </c>
      <c r="I201">
        <v>2000</v>
      </c>
      <c r="J201">
        <v>2023</v>
      </c>
      <c r="K201" t="s">
        <v>7</v>
      </c>
      <c r="L201" t="s">
        <v>46</v>
      </c>
      <c r="M201" s="12" t="str">
        <f t="shared" si="6"/>
        <v>☑</v>
      </c>
      <c r="N201" t="b">
        <f t="shared" si="7"/>
        <v>1</v>
      </c>
    </row>
  </sheetData>
  <conditionalFormatting sqref="M2:M201">
    <cfRule type="cellIs" dxfId="1" priority="2" operator="equal">
      <formula>$M$2</formula>
    </cfRule>
  </conditionalFormatting>
  <conditionalFormatting sqref="M4:M201">
    <cfRule type="cellIs" dxfId="0" priority="1" operator="equal">
      <formula>$M$4</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8734-3156-4205-ACAB-01F049125AC2}">
  <dimension ref="A3:H29"/>
  <sheetViews>
    <sheetView topLeftCell="A7" zoomScale="70" zoomScaleNormal="70" workbookViewId="0">
      <selection activeCell="F20" sqref="F20"/>
    </sheetView>
  </sheetViews>
  <sheetFormatPr defaultRowHeight="14.4" x14ac:dyDescent="0.3"/>
  <cols>
    <col min="1" max="2" width="13.88671875" bestFit="1" customWidth="1"/>
    <col min="3" max="3" width="13" bestFit="1" customWidth="1"/>
    <col min="5" max="5" width="13.88671875" bestFit="1" customWidth="1"/>
    <col min="6" max="6" width="13" bestFit="1" customWidth="1"/>
    <col min="7" max="7" width="11.33203125" bestFit="1" customWidth="1"/>
    <col min="8" max="8" width="13" bestFit="1" customWidth="1"/>
  </cols>
  <sheetData>
    <row r="3" spans="2:8" x14ac:dyDescent="0.3">
      <c r="B3" s="1" t="s">
        <v>4</v>
      </c>
      <c r="C3" t="s">
        <v>5</v>
      </c>
      <c r="E3" s="1" t="s">
        <v>4</v>
      </c>
      <c r="F3" t="s">
        <v>2</v>
      </c>
    </row>
    <row r="4" spans="2:8" x14ac:dyDescent="0.3">
      <c r="B4" s="2" t="s">
        <v>1</v>
      </c>
      <c r="C4" s="5">
        <v>106445.84</v>
      </c>
      <c r="E4" s="2">
        <v>2023</v>
      </c>
    </row>
    <row r="5" spans="2:8" x14ac:dyDescent="0.3">
      <c r="B5" s="2" t="s">
        <v>0</v>
      </c>
      <c r="C5" s="5">
        <v>106445.84</v>
      </c>
      <c r="E5" s="3" t="s">
        <v>6</v>
      </c>
      <c r="F5" s="5">
        <v>20406</v>
      </c>
    </row>
    <row r="6" spans="2:8" x14ac:dyDescent="0.3">
      <c r="E6" s="3" t="s">
        <v>7</v>
      </c>
      <c r="F6" s="5">
        <v>47145</v>
      </c>
    </row>
    <row r="7" spans="2:8" x14ac:dyDescent="0.3">
      <c r="E7" s="3" t="s">
        <v>8</v>
      </c>
      <c r="F7" s="5">
        <v>20764</v>
      </c>
    </row>
    <row r="8" spans="2:8" x14ac:dyDescent="0.3">
      <c r="E8" s="3" t="s">
        <v>9</v>
      </c>
      <c r="F8" s="5">
        <v>41497</v>
      </c>
    </row>
    <row r="9" spans="2:8" x14ac:dyDescent="0.3">
      <c r="E9" s="2" t="s">
        <v>0</v>
      </c>
      <c r="F9" s="5">
        <v>129812</v>
      </c>
    </row>
    <row r="13" spans="2:8" x14ac:dyDescent="0.3">
      <c r="B13" s="1" t="s">
        <v>4</v>
      </c>
      <c r="C13" t="s">
        <v>2</v>
      </c>
      <c r="E13" s="1" t="s">
        <v>4</v>
      </c>
      <c r="F13" t="s">
        <v>2</v>
      </c>
      <c r="G13" t="s">
        <v>30</v>
      </c>
      <c r="H13" t="s">
        <v>5</v>
      </c>
    </row>
    <row r="14" spans="2:8" x14ac:dyDescent="0.3">
      <c r="B14" s="2" t="s">
        <v>10</v>
      </c>
      <c r="C14" s="5">
        <v>28512</v>
      </c>
      <c r="E14" s="2" t="s">
        <v>15</v>
      </c>
      <c r="F14" s="5">
        <v>13054</v>
      </c>
      <c r="G14" s="5">
        <v>2349.7199999999998</v>
      </c>
      <c r="H14" s="5">
        <v>10704.28</v>
      </c>
    </row>
    <row r="15" spans="2:8" x14ac:dyDescent="0.3">
      <c r="B15" s="2" t="s">
        <v>11</v>
      </c>
      <c r="C15" s="5">
        <v>26689</v>
      </c>
      <c r="E15" s="2" t="s">
        <v>16</v>
      </c>
      <c r="F15" s="5">
        <v>14164</v>
      </c>
      <c r="G15" s="5">
        <v>2549.52</v>
      </c>
      <c r="H15" s="5">
        <v>11614.48</v>
      </c>
    </row>
    <row r="16" spans="2:8" x14ac:dyDescent="0.3">
      <c r="B16" s="2" t="s">
        <v>12</v>
      </c>
      <c r="C16" s="5">
        <v>21630</v>
      </c>
      <c r="E16" s="2" t="s">
        <v>17</v>
      </c>
      <c r="F16" s="5">
        <v>22072</v>
      </c>
      <c r="G16" s="5">
        <v>3972.96</v>
      </c>
      <c r="H16" s="5">
        <v>18099.04</v>
      </c>
    </row>
    <row r="17" spans="1:8" x14ac:dyDescent="0.3">
      <c r="B17" s="2" t="s">
        <v>13</v>
      </c>
      <c r="C17" s="5">
        <v>25814</v>
      </c>
      <c r="E17" s="2" t="s">
        <v>18</v>
      </c>
      <c r="F17" s="5">
        <v>1320</v>
      </c>
      <c r="G17" s="5">
        <v>237.6</v>
      </c>
      <c r="H17" s="5">
        <v>1082.4000000000001</v>
      </c>
    </row>
    <row r="18" spans="1:8" x14ac:dyDescent="0.3">
      <c r="B18" s="2" t="s">
        <v>14</v>
      </c>
      <c r="C18" s="5">
        <v>27167</v>
      </c>
      <c r="E18" s="2" t="s">
        <v>19</v>
      </c>
      <c r="F18" s="5">
        <v>10244</v>
      </c>
      <c r="G18" s="5">
        <v>1843.9199999999998</v>
      </c>
      <c r="H18" s="5">
        <v>8400.08</v>
      </c>
    </row>
    <row r="19" spans="1:8" x14ac:dyDescent="0.3">
      <c r="B19" s="2" t="s">
        <v>0</v>
      </c>
      <c r="C19" s="5">
        <v>129812</v>
      </c>
      <c r="E19" s="2" t="s">
        <v>20</v>
      </c>
      <c r="F19" s="5">
        <v>2884</v>
      </c>
      <c r="G19" s="5">
        <v>519.12</v>
      </c>
      <c r="H19" s="5">
        <v>2364.88</v>
      </c>
    </row>
    <row r="20" spans="1:8" x14ac:dyDescent="0.3">
      <c r="E20" s="2" t="s">
        <v>21</v>
      </c>
      <c r="F20" s="5">
        <v>17571</v>
      </c>
      <c r="G20" s="5">
        <v>3162.7799999999997</v>
      </c>
      <c r="H20" s="5">
        <v>14408.220000000001</v>
      </c>
    </row>
    <row r="21" spans="1:8" x14ac:dyDescent="0.3">
      <c r="E21" s="2" t="s">
        <v>22</v>
      </c>
      <c r="F21" s="5">
        <v>8029</v>
      </c>
      <c r="G21" s="5">
        <v>1445.22</v>
      </c>
      <c r="H21" s="5">
        <v>6583.78</v>
      </c>
    </row>
    <row r="22" spans="1:8" x14ac:dyDescent="0.3">
      <c r="A22" s="1" t="s">
        <v>4</v>
      </c>
      <c r="B22" t="s">
        <v>2</v>
      </c>
      <c r="C22" t="s">
        <v>5</v>
      </c>
      <c r="E22" s="2" t="s">
        <v>23</v>
      </c>
      <c r="F22" s="5">
        <v>11440</v>
      </c>
      <c r="G22" s="5">
        <v>2059.1999999999998</v>
      </c>
      <c r="H22" s="5">
        <v>9380.7999999999993</v>
      </c>
    </row>
    <row r="23" spans="1:8" x14ac:dyDescent="0.3">
      <c r="A23" s="2" t="s">
        <v>1</v>
      </c>
      <c r="B23" s="5">
        <v>129812</v>
      </c>
      <c r="C23" s="5">
        <v>106445.84</v>
      </c>
      <c r="E23" s="2" t="s">
        <v>24</v>
      </c>
      <c r="F23" s="5">
        <v>4740</v>
      </c>
      <c r="G23" s="5">
        <v>853.19999999999993</v>
      </c>
      <c r="H23" s="5">
        <v>3886.8</v>
      </c>
    </row>
    <row r="24" spans="1:8" x14ac:dyDescent="0.3">
      <c r="A24" s="2" t="s">
        <v>0</v>
      </c>
      <c r="B24" s="5">
        <v>129812</v>
      </c>
      <c r="C24" s="5">
        <v>106445.84</v>
      </c>
      <c r="E24" s="2" t="s">
        <v>25</v>
      </c>
      <c r="F24" s="5">
        <v>3556</v>
      </c>
      <c r="G24" s="5">
        <v>640.07999999999993</v>
      </c>
      <c r="H24" s="5">
        <v>2915.92</v>
      </c>
    </row>
    <row r="25" spans="1:8" x14ac:dyDescent="0.3">
      <c r="E25" s="2" t="s">
        <v>26</v>
      </c>
      <c r="F25" s="5">
        <v>4378</v>
      </c>
      <c r="G25" s="5">
        <v>788.04</v>
      </c>
      <c r="H25" s="5">
        <v>3589.96</v>
      </c>
    </row>
    <row r="26" spans="1:8" x14ac:dyDescent="0.3">
      <c r="E26" s="2" t="s">
        <v>27</v>
      </c>
      <c r="F26" s="5">
        <v>3357</v>
      </c>
      <c r="G26" s="5">
        <v>604.26</v>
      </c>
      <c r="H26" s="5">
        <v>2752.74</v>
      </c>
    </row>
    <row r="27" spans="1:8" x14ac:dyDescent="0.3">
      <c r="E27" s="2" t="s">
        <v>28</v>
      </c>
      <c r="F27" s="5">
        <v>6518</v>
      </c>
      <c r="G27" s="5">
        <v>1173.24</v>
      </c>
      <c r="H27" s="5">
        <v>5344.76</v>
      </c>
    </row>
    <row r="28" spans="1:8" x14ac:dyDescent="0.3">
      <c r="E28" s="2" t="s">
        <v>29</v>
      </c>
      <c r="F28" s="5">
        <v>6485</v>
      </c>
      <c r="G28" s="5">
        <v>1167.3</v>
      </c>
      <c r="H28" s="5">
        <v>5317.7</v>
      </c>
    </row>
    <row r="29" spans="1:8" x14ac:dyDescent="0.3">
      <c r="E29" s="2" t="s">
        <v>0</v>
      </c>
      <c r="F29" s="5">
        <v>129812</v>
      </c>
      <c r="G29" s="5">
        <v>23366.16</v>
      </c>
      <c r="H29" s="5">
        <v>106445.84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BA88-04E2-49D1-B03F-6314E135D00C}">
  <dimension ref="B3:C5"/>
  <sheetViews>
    <sheetView zoomScale="86" workbookViewId="0">
      <selection activeCell="C3" sqref="C3"/>
    </sheetView>
  </sheetViews>
  <sheetFormatPr defaultRowHeight="14.4" x14ac:dyDescent="0.3"/>
  <cols>
    <col min="2" max="2" width="11.33203125" bestFit="1" customWidth="1"/>
    <col min="3" max="3" width="12.21875" bestFit="1" customWidth="1"/>
    <col min="4" max="5" width="15.21875" bestFit="1" customWidth="1"/>
    <col min="6" max="6" width="11.6640625" bestFit="1" customWidth="1"/>
    <col min="7" max="7" width="15.21875" bestFit="1" customWidth="1"/>
    <col min="8" max="8" width="13.88671875" bestFit="1" customWidth="1"/>
    <col min="9" max="9" width="16.44140625" bestFit="1" customWidth="1"/>
    <col min="10" max="10" width="20" bestFit="1" customWidth="1"/>
    <col min="11" max="11" width="18.77734375" bestFit="1" customWidth="1"/>
    <col min="12" max="14" width="11.21875" bestFit="1" customWidth="1"/>
    <col min="15" max="15" width="10.109375" bestFit="1" customWidth="1"/>
    <col min="16" max="16" width="12.77734375" bestFit="1" customWidth="1"/>
  </cols>
  <sheetData>
    <row r="3" spans="2:3" x14ac:dyDescent="0.3">
      <c r="B3" s="1" t="s">
        <v>3</v>
      </c>
      <c r="C3" t="s">
        <v>2</v>
      </c>
    </row>
    <row r="4" spans="2:3" x14ac:dyDescent="0.3">
      <c r="B4" s="2" t="s">
        <v>1</v>
      </c>
      <c r="C4" s="5">
        <v>129812</v>
      </c>
    </row>
    <row r="5" spans="2:3" x14ac:dyDescent="0.3">
      <c r="B5" s="2" t="s">
        <v>0</v>
      </c>
      <c r="C5" s="5">
        <v>129812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4A6B-CD75-4796-879F-0A5C954C2D4A}">
  <dimension ref="B3:D167"/>
  <sheetViews>
    <sheetView workbookViewId="0">
      <selection activeCell="J11" sqref="J11"/>
    </sheetView>
  </sheetViews>
  <sheetFormatPr defaultRowHeight="14.4" x14ac:dyDescent="0.3"/>
  <cols>
    <col min="2" max="2" width="10.77734375" bestFit="1" customWidth="1"/>
    <col min="3" max="3" width="12.109375" bestFit="1" customWidth="1"/>
    <col min="4" max="5" width="15.21875" bestFit="1" customWidth="1"/>
  </cols>
  <sheetData>
    <row r="3" spans="2:4" x14ac:dyDescent="0.3">
      <c r="B3" s="1" t="s">
        <v>32</v>
      </c>
      <c r="C3" t="s">
        <v>2</v>
      </c>
      <c r="D3" s="7" t="s">
        <v>31</v>
      </c>
    </row>
    <row r="4" spans="2:4" x14ac:dyDescent="0.3">
      <c r="B4" s="6">
        <v>44930</v>
      </c>
      <c r="C4" s="5">
        <v>4872</v>
      </c>
      <c r="D4" s="7">
        <v>1</v>
      </c>
    </row>
    <row r="5" spans="2:4" x14ac:dyDescent="0.3">
      <c r="B5" s="6">
        <v>44933</v>
      </c>
      <c r="C5" s="5">
        <v>6594</v>
      </c>
      <c r="D5" s="7">
        <v>1</v>
      </c>
    </row>
    <row r="6" spans="2:4" x14ac:dyDescent="0.3">
      <c r="B6" s="6">
        <v>44937</v>
      </c>
      <c r="C6" s="5">
        <v>2560</v>
      </c>
      <c r="D6" s="7">
        <v>0</v>
      </c>
    </row>
    <row r="7" spans="2:4" x14ac:dyDescent="0.3">
      <c r="B7" s="6">
        <v>44943</v>
      </c>
      <c r="C7" s="5">
        <v>3159</v>
      </c>
      <c r="D7" s="7">
        <v>1</v>
      </c>
    </row>
    <row r="8" spans="2:4" x14ac:dyDescent="0.3">
      <c r="B8" s="6">
        <v>44953</v>
      </c>
      <c r="C8" s="5">
        <v>1498</v>
      </c>
      <c r="D8" s="7">
        <v>0</v>
      </c>
    </row>
    <row r="9" spans="2:4" x14ac:dyDescent="0.3">
      <c r="B9" s="6">
        <v>44955</v>
      </c>
      <c r="C9" s="5">
        <v>2335</v>
      </c>
      <c r="D9" s="7">
        <v>0</v>
      </c>
    </row>
    <row r="10" spans="2:4" x14ac:dyDescent="0.3">
      <c r="B10" s="6">
        <v>44959</v>
      </c>
      <c r="C10" s="5">
        <v>4472</v>
      </c>
      <c r="D10" s="7">
        <v>1</v>
      </c>
    </row>
    <row r="11" spans="2:4" x14ac:dyDescent="0.3">
      <c r="B11" s="6">
        <v>44960</v>
      </c>
      <c r="C11" s="5">
        <v>1143</v>
      </c>
      <c r="D11" s="7">
        <v>0</v>
      </c>
    </row>
    <row r="12" spans="2:4" x14ac:dyDescent="0.3">
      <c r="B12" s="6">
        <v>44961</v>
      </c>
      <c r="C12" s="5">
        <v>1902</v>
      </c>
      <c r="D12" s="7">
        <v>0</v>
      </c>
    </row>
    <row r="13" spans="2:4" x14ac:dyDescent="0.3">
      <c r="B13" s="6">
        <v>44962</v>
      </c>
      <c r="C13" s="5">
        <v>7956</v>
      </c>
      <c r="D13" s="7">
        <v>1</v>
      </c>
    </row>
    <row r="14" spans="2:4" x14ac:dyDescent="0.3">
      <c r="B14" s="6">
        <v>44963</v>
      </c>
      <c r="C14" s="5">
        <v>1480</v>
      </c>
      <c r="D14" s="7">
        <v>0</v>
      </c>
    </row>
    <row r="15" spans="2:4" x14ac:dyDescent="0.3">
      <c r="B15" s="6">
        <v>44964</v>
      </c>
      <c r="C15" s="5">
        <v>569</v>
      </c>
      <c r="D15" s="7">
        <v>-1</v>
      </c>
    </row>
    <row r="16" spans="2:4" x14ac:dyDescent="0.3">
      <c r="B16" s="6">
        <v>44965</v>
      </c>
      <c r="C16" s="5">
        <v>7200</v>
      </c>
      <c r="D16" s="7">
        <v>1</v>
      </c>
    </row>
    <row r="17" spans="2:4" x14ac:dyDescent="0.3">
      <c r="B17" s="6">
        <v>44970</v>
      </c>
      <c r="C17" s="5">
        <v>4232</v>
      </c>
      <c r="D17" s="7">
        <v>1</v>
      </c>
    </row>
    <row r="18" spans="2:4" x14ac:dyDescent="0.3">
      <c r="B18" s="6">
        <v>44972</v>
      </c>
      <c r="C18" s="5">
        <v>2148</v>
      </c>
      <c r="D18" s="7">
        <v>0</v>
      </c>
    </row>
    <row r="19" spans="2:4" x14ac:dyDescent="0.3">
      <c r="B19" s="6">
        <v>44977</v>
      </c>
      <c r="C19" s="5">
        <v>3942</v>
      </c>
      <c r="D19" s="7">
        <v>1</v>
      </c>
    </row>
    <row r="20" spans="2:4" x14ac:dyDescent="0.3">
      <c r="B20" s="6">
        <v>44978</v>
      </c>
      <c r="C20" s="5">
        <v>2688</v>
      </c>
      <c r="D20" s="7">
        <v>0</v>
      </c>
    </row>
    <row r="21" spans="2:4" x14ac:dyDescent="0.3">
      <c r="B21" s="6">
        <v>44979</v>
      </c>
      <c r="C21" s="5">
        <v>687</v>
      </c>
      <c r="D21" s="7">
        <v>-1</v>
      </c>
    </row>
    <row r="22" spans="2:4" x14ac:dyDescent="0.3">
      <c r="B22" s="6">
        <v>44981</v>
      </c>
      <c r="C22" s="5">
        <v>2331</v>
      </c>
      <c r="D22" s="7">
        <v>0</v>
      </c>
    </row>
    <row r="23" spans="2:4" x14ac:dyDescent="0.3">
      <c r="B23" s="6">
        <v>44982</v>
      </c>
      <c r="C23" s="5">
        <v>3512</v>
      </c>
      <c r="D23" s="7">
        <v>1</v>
      </c>
    </row>
    <row r="24" spans="2:4" x14ac:dyDescent="0.3">
      <c r="B24" s="6">
        <v>44988</v>
      </c>
      <c r="C24" s="5">
        <v>1320</v>
      </c>
      <c r="D24" s="7">
        <v>0</v>
      </c>
    </row>
    <row r="25" spans="2:4" x14ac:dyDescent="0.3">
      <c r="B25" s="6">
        <v>44989</v>
      </c>
      <c r="C25" s="5">
        <v>1888</v>
      </c>
      <c r="D25" s="7">
        <v>0</v>
      </c>
    </row>
    <row r="26" spans="2:4" x14ac:dyDescent="0.3">
      <c r="B26" s="6">
        <v>44994</v>
      </c>
      <c r="C26" s="5">
        <v>466</v>
      </c>
      <c r="D26" s="7">
        <v>-1</v>
      </c>
    </row>
    <row r="27" spans="2:4" x14ac:dyDescent="0.3">
      <c r="B27" s="6">
        <v>44996</v>
      </c>
      <c r="C27" s="5">
        <v>2288</v>
      </c>
      <c r="D27" s="7">
        <v>0</v>
      </c>
    </row>
    <row r="28" spans="2:4" x14ac:dyDescent="0.3">
      <c r="B28" s="6">
        <v>45004</v>
      </c>
      <c r="C28" s="5">
        <v>1968</v>
      </c>
      <c r="D28" s="7">
        <v>0</v>
      </c>
    </row>
    <row r="29" spans="2:4" x14ac:dyDescent="0.3">
      <c r="B29" s="6">
        <v>45005</v>
      </c>
      <c r="C29" s="5">
        <v>8013</v>
      </c>
      <c r="D29" s="7">
        <v>1</v>
      </c>
    </row>
    <row r="30" spans="2:4" x14ac:dyDescent="0.3">
      <c r="B30" s="6">
        <v>45010</v>
      </c>
      <c r="C30" s="5">
        <v>1050</v>
      </c>
      <c r="D30" s="7">
        <v>0</v>
      </c>
    </row>
    <row r="31" spans="2:4" x14ac:dyDescent="0.3">
      <c r="B31" s="6">
        <v>45016</v>
      </c>
      <c r="C31" s="5">
        <v>765</v>
      </c>
      <c r="D31" s="7">
        <v>-1</v>
      </c>
    </row>
    <row r="32" spans="2:4" x14ac:dyDescent="0.3">
      <c r="B32" s="6">
        <v>45018</v>
      </c>
      <c r="C32" s="5">
        <v>5406</v>
      </c>
      <c r="D32" s="7">
        <v>1</v>
      </c>
    </row>
    <row r="33" spans="2:4" x14ac:dyDescent="0.3">
      <c r="B33" s="6">
        <v>45022</v>
      </c>
      <c r="C33" s="5">
        <v>1418</v>
      </c>
      <c r="D33" s="7">
        <v>0</v>
      </c>
    </row>
    <row r="34" spans="2:4" x14ac:dyDescent="0.3">
      <c r="B34" s="6">
        <v>45024</v>
      </c>
      <c r="C34" s="5">
        <v>2334</v>
      </c>
      <c r="D34" s="7">
        <v>0</v>
      </c>
    </row>
    <row r="35" spans="2:4" x14ac:dyDescent="0.3">
      <c r="B35" s="6">
        <v>45025</v>
      </c>
      <c r="C35" s="5">
        <v>1332</v>
      </c>
      <c r="D35" s="7">
        <v>0</v>
      </c>
    </row>
    <row r="36" spans="2:4" x14ac:dyDescent="0.3">
      <c r="B36" s="6">
        <v>45028</v>
      </c>
      <c r="C36" s="5">
        <v>6811</v>
      </c>
      <c r="D36" s="7">
        <v>1</v>
      </c>
    </row>
    <row r="37" spans="2:4" x14ac:dyDescent="0.3">
      <c r="B37" s="6">
        <v>45033</v>
      </c>
      <c r="C37" s="5">
        <v>1480</v>
      </c>
      <c r="D37" s="7">
        <v>0</v>
      </c>
    </row>
    <row r="38" spans="2:4" x14ac:dyDescent="0.3">
      <c r="B38" s="6">
        <v>45034</v>
      </c>
      <c r="C38" s="5">
        <v>3128</v>
      </c>
      <c r="D38" s="7">
        <v>1</v>
      </c>
    </row>
    <row r="39" spans="2:4" x14ac:dyDescent="0.3">
      <c r="B39" s="6">
        <v>45035</v>
      </c>
      <c r="C39" s="5">
        <v>7512</v>
      </c>
      <c r="D39" s="7">
        <v>1</v>
      </c>
    </row>
    <row r="40" spans="2:4" x14ac:dyDescent="0.3">
      <c r="B40" s="6">
        <v>45036</v>
      </c>
      <c r="C40" s="5">
        <v>2115</v>
      </c>
      <c r="D40" s="7">
        <v>0</v>
      </c>
    </row>
    <row r="41" spans="2:4" x14ac:dyDescent="0.3">
      <c r="B41" s="6">
        <v>45037</v>
      </c>
      <c r="C41" s="5">
        <v>1224</v>
      </c>
      <c r="D41" s="7">
        <v>0</v>
      </c>
    </row>
    <row r="42" spans="2:4" x14ac:dyDescent="0.3">
      <c r="B42" s="6">
        <v>45038</v>
      </c>
      <c r="C42" s="5">
        <v>693</v>
      </c>
      <c r="D42" s="7">
        <v>-1</v>
      </c>
    </row>
    <row r="43" spans="2:4" x14ac:dyDescent="0.3">
      <c r="B43" s="6">
        <v>45039</v>
      </c>
      <c r="C43" s="5">
        <v>2769</v>
      </c>
      <c r="D43" s="7">
        <v>0</v>
      </c>
    </row>
    <row r="44" spans="2:4" x14ac:dyDescent="0.3">
      <c r="B44" s="6">
        <v>45041</v>
      </c>
      <c r="C44" s="5">
        <v>1798</v>
      </c>
      <c r="D44" s="7">
        <v>0</v>
      </c>
    </row>
    <row r="45" spans="2:4" x14ac:dyDescent="0.3">
      <c r="B45" s="6">
        <v>45042</v>
      </c>
      <c r="C45" s="5">
        <v>1000</v>
      </c>
      <c r="D45" s="7">
        <v>0</v>
      </c>
    </row>
    <row r="46" spans="2:4" x14ac:dyDescent="0.3">
      <c r="B46" s="6">
        <v>45043</v>
      </c>
      <c r="C46" s="5">
        <v>1698</v>
      </c>
      <c r="D46" s="7">
        <v>0</v>
      </c>
    </row>
    <row r="47" spans="2:4" x14ac:dyDescent="0.3">
      <c r="B47" s="6">
        <v>45045</v>
      </c>
      <c r="C47" s="5">
        <v>6024</v>
      </c>
      <c r="D47" s="7">
        <v>1</v>
      </c>
    </row>
    <row r="48" spans="2:4" x14ac:dyDescent="0.3">
      <c r="B48" s="6">
        <v>45047</v>
      </c>
      <c r="C48" s="5">
        <v>2215</v>
      </c>
      <c r="D48" s="7">
        <v>0</v>
      </c>
    </row>
    <row r="49" spans="2:4" x14ac:dyDescent="0.3">
      <c r="B49" s="6">
        <v>45049</v>
      </c>
      <c r="C49" s="5">
        <v>2871</v>
      </c>
      <c r="D49" s="7">
        <v>0</v>
      </c>
    </row>
    <row r="50" spans="2:4" x14ac:dyDescent="0.3">
      <c r="B50" s="6">
        <v>45052</v>
      </c>
      <c r="C50" s="5">
        <v>195</v>
      </c>
      <c r="D50" s="7">
        <v>-1</v>
      </c>
    </row>
    <row r="51" spans="2:4" x14ac:dyDescent="0.3">
      <c r="B51" s="6">
        <v>45053</v>
      </c>
      <c r="C51" s="5">
        <v>5859</v>
      </c>
      <c r="D51" s="7">
        <v>1</v>
      </c>
    </row>
    <row r="52" spans="2:4" x14ac:dyDescent="0.3">
      <c r="B52" s="6">
        <v>45056</v>
      </c>
      <c r="C52" s="5">
        <v>1162</v>
      </c>
      <c r="D52" s="7">
        <v>0</v>
      </c>
    </row>
    <row r="53" spans="2:4" x14ac:dyDescent="0.3">
      <c r="B53" s="6">
        <v>45057</v>
      </c>
      <c r="C53" s="5">
        <v>825</v>
      </c>
      <c r="D53" s="7">
        <v>-1</v>
      </c>
    </row>
    <row r="54" spans="2:4" x14ac:dyDescent="0.3">
      <c r="B54" s="6">
        <v>45067</v>
      </c>
      <c r="C54" s="5">
        <v>834</v>
      </c>
      <c r="D54" s="7">
        <v>-1</v>
      </c>
    </row>
    <row r="55" spans="2:4" x14ac:dyDescent="0.3">
      <c r="B55" s="6">
        <v>45068</v>
      </c>
      <c r="C55" s="5">
        <v>8780</v>
      </c>
      <c r="D55" s="7">
        <v>1</v>
      </c>
    </row>
    <row r="56" spans="2:4" x14ac:dyDescent="0.3">
      <c r="B56" s="6">
        <v>45069</v>
      </c>
      <c r="C56" s="5">
        <v>2097</v>
      </c>
      <c r="D56" s="7">
        <v>0</v>
      </c>
    </row>
    <row r="57" spans="2:4" x14ac:dyDescent="0.3">
      <c r="B57" s="6">
        <v>45070</v>
      </c>
      <c r="C57" s="5">
        <v>8180</v>
      </c>
      <c r="D57" s="7">
        <v>1</v>
      </c>
    </row>
    <row r="58" spans="2:4" x14ac:dyDescent="0.3">
      <c r="B58" s="6">
        <v>45072</v>
      </c>
      <c r="C58" s="5">
        <v>8655</v>
      </c>
      <c r="D58" s="7">
        <v>1</v>
      </c>
    </row>
    <row r="59" spans="2:4" x14ac:dyDescent="0.3">
      <c r="B59" s="6">
        <v>45073</v>
      </c>
      <c r="C59" s="5">
        <v>5044</v>
      </c>
      <c r="D59" s="7">
        <v>1</v>
      </c>
    </row>
    <row r="60" spans="2:4" x14ac:dyDescent="0.3">
      <c r="B60" s="6">
        <v>45074</v>
      </c>
      <c r="C60" s="5">
        <v>4190</v>
      </c>
      <c r="D60" s="7">
        <v>1</v>
      </c>
    </row>
    <row r="61" spans="2:4" x14ac:dyDescent="0.3">
      <c r="B61" s="6">
        <v>45076</v>
      </c>
      <c r="C61" s="5">
        <v>337</v>
      </c>
      <c r="D61" s="7">
        <v>-1</v>
      </c>
    </row>
    <row r="62" spans="2:4" x14ac:dyDescent="0.3">
      <c r="B62" s="6">
        <v>45077</v>
      </c>
      <c r="C62" s="5">
        <v>2056</v>
      </c>
      <c r="D62" s="7">
        <v>0</v>
      </c>
    </row>
    <row r="63" spans="2:4" x14ac:dyDescent="0.3">
      <c r="B63" s="6">
        <v>45080</v>
      </c>
      <c r="C63" s="5">
        <v>3744</v>
      </c>
      <c r="D63" s="7">
        <v>1</v>
      </c>
    </row>
    <row r="64" spans="2:4" x14ac:dyDescent="0.3">
      <c r="B64" s="6">
        <v>45083</v>
      </c>
      <c r="C64" s="5">
        <v>7350</v>
      </c>
      <c r="D64" s="7">
        <v>1</v>
      </c>
    </row>
    <row r="65" spans="2:4" x14ac:dyDescent="0.3">
      <c r="B65" s="6">
        <v>45084</v>
      </c>
      <c r="C65" s="5">
        <v>8660</v>
      </c>
      <c r="D65" s="7">
        <v>1</v>
      </c>
    </row>
    <row r="66" spans="2:4" x14ac:dyDescent="0.3">
      <c r="B66" s="6">
        <v>45085</v>
      </c>
      <c r="C66" s="5">
        <v>1072</v>
      </c>
      <c r="D66" s="7">
        <v>0</v>
      </c>
    </row>
    <row r="67" spans="2:4" x14ac:dyDescent="0.3">
      <c r="B67" s="6">
        <v>45087</v>
      </c>
      <c r="C67" s="5">
        <v>7980</v>
      </c>
      <c r="D67" s="7">
        <v>1</v>
      </c>
    </row>
    <row r="68" spans="2:4" x14ac:dyDescent="0.3">
      <c r="B68" s="6">
        <v>45089</v>
      </c>
      <c r="C68" s="5">
        <v>6576</v>
      </c>
      <c r="D68" s="7">
        <v>1</v>
      </c>
    </row>
    <row r="69" spans="2:4" x14ac:dyDescent="0.3">
      <c r="B69" s="6">
        <v>45092</v>
      </c>
      <c r="C69" s="5">
        <v>3800</v>
      </c>
      <c r="D69" s="7">
        <v>1</v>
      </c>
    </row>
    <row r="70" spans="2:4" x14ac:dyDescent="0.3">
      <c r="B70" s="6">
        <v>45093</v>
      </c>
      <c r="C70" s="5">
        <v>1797</v>
      </c>
      <c r="D70" s="7">
        <v>0</v>
      </c>
    </row>
    <row r="71" spans="2:4" x14ac:dyDescent="0.3">
      <c r="B71" s="6">
        <v>45094</v>
      </c>
      <c r="C71" s="5">
        <v>1953</v>
      </c>
      <c r="D71" s="7">
        <v>0</v>
      </c>
    </row>
    <row r="72" spans="2:4" x14ac:dyDescent="0.3">
      <c r="B72" s="6">
        <v>45095</v>
      </c>
      <c r="C72" s="5">
        <v>2721</v>
      </c>
      <c r="D72" s="7">
        <v>0</v>
      </c>
    </row>
    <row r="73" spans="2:4" x14ac:dyDescent="0.3">
      <c r="B73" s="6">
        <v>45097</v>
      </c>
      <c r="C73" s="5">
        <v>2256</v>
      </c>
      <c r="D73" s="7">
        <v>0</v>
      </c>
    </row>
    <row r="74" spans="2:4" x14ac:dyDescent="0.3">
      <c r="B74" s="6">
        <v>45099</v>
      </c>
      <c r="C74" s="5">
        <v>5887</v>
      </c>
      <c r="D74" s="7">
        <v>1</v>
      </c>
    </row>
    <row r="75" spans="2:4" x14ac:dyDescent="0.3">
      <c r="B75" s="6">
        <v>45100</v>
      </c>
      <c r="C75" s="5">
        <v>1158</v>
      </c>
      <c r="D75" s="7">
        <v>0</v>
      </c>
    </row>
    <row r="76" spans="2:4" x14ac:dyDescent="0.3">
      <c r="B76" s="6">
        <v>45101</v>
      </c>
      <c r="C76" s="5">
        <v>3813</v>
      </c>
      <c r="D76" s="7">
        <v>1</v>
      </c>
    </row>
    <row r="77" spans="2:4" x14ac:dyDescent="0.3">
      <c r="B77" s="6">
        <v>45102</v>
      </c>
      <c r="C77" s="5">
        <v>3212</v>
      </c>
      <c r="D77" s="7">
        <v>1</v>
      </c>
    </row>
    <row r="78" spans="2:4" x14ac:dyDescent="0.3">
      <c r="B78" s="6">
        <v>45103</v>
      </c>
      <c r="C78" s="5">
        <v>7690</v>
      </c>
      <c r="D78" s="7">
        <v>1</v>
      </c>
    </row>
    <row r="79" spans="2:4" x14ac:dyDescent="0.3">
      <c r="B79" s="6">
        <v>45105</v>
      </c>
      <c r="C79" s="5">
        <v>3087</v>
      </c>
      <c r="D79" s="7">
        <v>1</v>
      </c>
    </row>
    <row r="80" spans="2:4" x14ac:dyDescent="0.3">
      <c r="B80" s="6">
        <v>45107</v>
      </c>
      <c r="C80" s="5">
        <v>3016</v>
      </c>
      <c r="D80" s="7">
        <v>1</v>
      </c>
    </row>
    <row r="81" spans="2:4" x14ac:dyDescent="0.3">
      <c r="B81" s="6">
        <v>45108</v>
      </c>
      <c r="C81" s="5">
        <v>3144</v>
      </c>
      <c r="D81" s="7">
        <v>1</v>
      </c>
    </row>
    <row r="82" spans="2:4" x14ac:dyDescent="0.3">
      <c r="B82" s="6">
        <v>45112</v>
      </c>
      <c r="C82" s="5">
        <v>964</v>
      </c>
      <c r="D82" s="7">
        <v>-1</v>
      </c>
    </row>
    <row r="83" spans="2:4" x14ac:dyDescent="0.3">
      <c r="B83" s="6">
        <v>45113</v>
      </c>
      <c r="C83" s="5">
        <v>1197</v>
      </c>
      <c r="D83" s="7">
        <v>0</v>
      </c>
    </row>
    <row r="84" spans="2:4" x14ac:dyDescent="0.3">
      <c r="B84" s="6">
        <v>45117</v>
      </c>
      <c r="C84" s="5">
        <v>2007</v>
      </c>
      <c r="D84" s="7">
        <v>0</v>
      </c>
    </row>
    <row r="85" spans="2:4" x14ac:dyDescent="0.3">
      <c r="B85" s="6">
        <v>45120</v>
      </c>
      <c r="C85" s="5">
        <v>1330</v>
      </c>
      <c r="D85" s="7">
        <v>0</v>
      </c>
    </row>
    <row r="86" spans="2:4" x14ac:dyDescent="0.3">
      <c r="B86" s="6">
        <v>45121</v>
      </c>
      <c r="C86" s="5">
        <v>499</v>
      </c>
      <c r="D86" s="7">
        <v>-1</v>
      </c>
    </row>
    <row r="87" spans="2:4" x14ac:dyDescent="0.3">
      <c r="B87" s="6">
        <v>45122</v>
      </c>
      <c r="C87" s="5">
        <v>5790</v>
      </c>
      <c r="D87" s="7">
        <v>1</v>
      </c>
    </row>
    <row r="88" spans="2:4" x14ac:dyDescent="0.3">
      <c r="B88" s="6">
        <v>45123</v>
      </c>
      <c r="C88" s="5">
        <v>2852</v>
      </c>
      <c r="D88" s="7">
        <v>0</v>
      </c>
    </row>
    <row r="89" spans="2:4" x14ac:dyDescent="0.3">
      <c r="B89" s="6">
        <v>45128</v>
      </c>
      <c r="C89" s="5">
        <v>6770</v>
      </c>
      <c r="D89" s="7">
        <v>1</v>
      </c>
    </row>
    <row r="90" spans="2:4" x14ac:dyDescent="0.3">
      <c r="B90" s="6">
        <v>45130</v>
      </c>
      <c r="C90" s="5">
        <v>708</v>
      </c>
      <c r="D90" s="7">
        <v>-1</v>
      </c>
    </row>
    <row r="91" spans="2:4" x14ac:dyDescent="0.3">
      <c r="B91" s="6">
        <v>45131</v>
      </c>
      <c r="C91" s="5">
        <v>2310</v>
      </c>
      <c r="D91" s="7">
        <v>0</v>
      </c>
    </row>
    <row r="92" spans="2:4" x14ac:dyDescent="0.3">
      <c r="B92" s="6">
        <v>45132</v>
      </c>
      <c r="C92" s="5">
        <v>2235</v>
      </c>
      <c r="D92" s="7">
        <v>0</v>
      </c>
    </row>
    <row r="93" spans="2:4" x14ac:dyDescent="0.3">
      <c r="B93" s="6">
        <v>45135</v>
      </c>
      <c r="C93" s="5">
        <v>8666</v>
      </c>
      <c r="D93" s="7">
        <v>1</v>
      </c>
    </row>
    <row r="94" spans="2:4" x14ac:dyDescent="0.3">
      <c r="B94" s="6">
        <v>45137</v>
      </c>
      <c r="C94" s="5">
        <v>3160</v>
      </c>
      <c r="D94" s="7">
        <v>1</v>
      </c>
    </row>
    <row r="95" spans="2:4" x14ac:dyDescent="0.3">
      <c r="B95" s="6">
        <v>45138</v>
      </c>
      <c r="C95" s="5">
        <v>5682</v>
      </c>
      <c r="D95" s="7">
        <v>1</v>
      </c>
    </row>
    <row r="96" spans="2:4" x14ac:dyDescent="0.3">
      <c r="B96" s="6">
        <v>45139</v>
      </c>
      <c r="C96" s="5">
        <v>6570</v>
      </c>
      <c r="D96" s="7">
        <v>1</v>
      </c>
    </row>
    <row r="97" spans="2:4" x14ac:dyDescent="0.3">
      <c r="B97" s="6">
        <v>45142</v>
      </c>
      <c r="C97" s="5">
        <v>6216</v>
      </c>
      <c r="D97" s="7">
        <v>1</v>
      </c>
    </row>
    <row r="98" spans="2:4" x14ac:dyDescent="0.3">
      <c r="B98" s="6">
        <v>45143</v>
      </c>
      <c r="C98" s="5">
        <v>1155</v>
      </c>
      <c r="D98" s="7">
        <v>0</v>
      </c>
    </row>
    <row r="99" spans="2:4" x14ac:dyDescent="0.3">
      <c r="B99" s="6">
        <v>45147</v>
      </c>
      <c r="C99" s="5">
        <v>426</v>
      </c>
      <c r="D99" s="7">
        <v>-1</v>
      </c>
    </row>
    <row r="100" spans="2:4" x14ac:dyDescent="0.3">
      <c r="B100" s="6">
        <v>45149</v>
      </c>
      <c r="C100" s="5">
        <v>1692</v>
      </c>
      <c r="D100" s="7">
        <v>0</v>
      </c>
    </row>
    <row r="101" spans="2:4" x14ac:dyDescent="0.3">
      <c r="B101" s="6">
        <v>45151</v>
      </c>
      <c r="C101" s="5">
        <v>1424</v>
      </c>
      <c r="D101" s="7">
        <v>0</v>
      </c>
    </row>
    <row r="102" spans="2:4" x14ac:dyDescent="0.3">
      <c r="B102" s="6">
        <v>45153</v>
      </c>
      <c r="C102" s="5">
        <v>9340</v>
      </c>
      <c r="D102" s="7">
        <v>1</v>
      </c>
    </row>
    <row r="103" spans="2:4" x14ac:dyDescent="0.3">
      <c r="B103" s="6">
        <v>45154</v>
      </c>
      <c r="C103" s="5">
        <v>2430</v>
      </c>
      <c r="D103" s="7">
        <v>0</v>
      </c>
    </row>
    <row r="104" spans="2:4" x14ac:dyDescent="0.3">
      <c r="B104" s="6">
        <v>45158</v>
      </c>
      <c r="C104" s="5">
        <v>2934</v>
      </c>
      <c r="D104" s="7">
        <v>0</v>
      </c>
    </row>
    <row r="105" spans="2:4" x14ac:dyDescent="0.3">
      <c r="B105" s="6">
        <v>45159</v>
      </c>
      <c r="C105" s="5">
        <v>15915</v>
      </c>
      <c r="D105" s="7">
        <v>1</v>
      </c>
    </row>
    <row r="106" spans="2:4" x14ac:dyDescent="0.3">
      <c r="B106" s="6">
        <v>45162</v>
      </c>
      <c r="C106" s="5">
        <v>2472</v>
      </c>
      <c r="D106" s="7">
        <v>0</v>
      </c>
    </row>
    <row r="107" spans="2:4" x14ac:dyDescent="0.3">
      <c r="B107" s="6">
        <v>45164</v>
      </c>
      <c r="C107" s="5">
        <v>7240</v>
      </c>
      <c r="D107" s="7">
        <v>1</v>
      </c>
    </row>
    <row r="108" spans="2:4" x14ac:dyDescent="0.3">
      <c r="B108" s="6">
        <v>45165</v>
      </c>
      <c r="C108" s="5">
        <v>3965</v>
      </c>
      <c r="D108" s="7">
        <v>1</v>
      </c>
    </row>
    <row r="109" spans="2:4" x14ac:dyDescent="0.3">
      <c r="B109" s="6">
        <v>45166</v>
      </c>
      <c r="C109" s="5">
        <v>789</v>
      </c>
      <c r="D109" s="7">
        <v>-1</v>
      </c>
    </row>
    <row r="110" spans="2:4" x14ac:dyDescent="0.3">
      <c r="B110" s="6">
        <v>45169</v>
      </c>
      <c r="C110" s="5">
        <v>5787</v>
      </c>
      <c r="D110" s="7">
        <v>1</v>
      </c>
    </row>
    <row r="111" spans="2:4" x14ac:dyDescent="0.3">
      <c r="B111" s="6">
        <v>45170</v>
      </c>
      <c r="C111" s="5">
        <v>2920</v>
      </c>
      <c r="D111" s="7">
        <v>0</v>
      </c>
    </row>
    <row r="112" spans="2:4" x14ac:dyDescent="0.3">
      <c r="B112" s="6">
        <v>45176</v>
      </c>
      <c r="C112" s="5">
        <v>1516</v>
      </c>
      <c r="D112" s="7">
        <v>0</v>
      </c>
    </row>
    <row r="113" spans="2:4" x14ac:dyDescent="0.3">
      <c r="B113" s="6">
        <v>45178</v>
      </c>
      <c r="C113" s="5">
        <v>1400</v>
      </c>
      <c r="D113" s="7">
        <v>0</v>
      </c>
    </row>
    <row r="114" spans="2:4" x14ac:dyDescent="0.3">
      <c r="B114" s="6">
        <v>45179</v>
      </c>
      <c r="C114" s="5">
        <v>398</v>
      </c>
      <c r="D114" s="7">
        <v>-1</v>
      </c>
    </row>
    <row r="115" spans="2:4" x14ac:dyDescent="0.3">
      <c r="B115" s="6">
        <v>45180</v>
      </c>
      <c r="C115" s="5">
        <v>2672</v>
      </c>
      <c r="D115" s="7">
        <v>0</v>
      </c>
    </row>
    <row r="116" spans="2:4" x14ac:dyDescent="0.3">
      <c r="B116" s="6">
        <v>45186</v>
      </c>
      <c r="C116" s="5">
        <v>3157</v>
      </c>
      <c r="D116" s="7">
        <v>1</v>
      </c>
    </row>
    <row r="117" spans="2:4" x14ac:dyDescent="0.3">
      <c r="B117" s="6">
        <v>45194</v>
      </c>
      <c r="C117" s="5">
        <v>3927</v>
      </c>
      <c r="D117" s="7">
        <v>1</v>
      </c>
    </row>
    <row r="118" spans="2:4" x14ac:dyDescent="0.3">
      <c r="B118" s="6">
        <v>45196</v>
      </c>
      <c r="C118" s="5">
        <v>920</v>
      </c>
      <c r="D118" s="7">
        <v>-1</v>
      </c>
    </row>
    <row r="119" spans="2:4" x14ac:dyDescent="0.3">
      <c r="B119" s="6">
        <v>45198</v>
      </c>
      <c r="C119" s="5">
        <v>8164</v>
      </c>
      <c r="D119" s="7">
        <v>1</v>
      </c>
    </row>
    <row r="120" spans="2:4" x14ac:dyDescent="0.3">
      <c r="B120" s="6">
        <v>45199</v>
      </c>
      <c r="C120" s="5">
        <v>5439</v>
      </c>
      <c r="D120" s="7">
        <v>1</v>
      </c>
    </row>
    <row r="121" spans="2:4" x14ac:dyDescent="0.3">
      <c r="B121" s="6">
        <v>45200</v>
      </c>
      <c r="C121" s="5">
        <v>1068</v>
      </c>
      <c r="D121" s="7">
        <v>0</v>
      </c>
    </row>
    <row r="122" spans="2:4" x14ac:dyDescent="0.3">
      <c r="B122" s="6">
        <v>45203</v>
      </c>
      <c r="C122" s="5">
        <v>4585</v>
      </c>
      <c r="D122" s="7">
        <v>1</v>
      </c>
    </row>
    <row r="123" spans="2:4" x14ac:dyDescent="0.3">
      <c r="B123" s="6">
        <v>45206</v>
      </c>
      <c r="C123" s="5">
        <v>954</v>
      </c>
      <c r="D123" s="7">
        <v>-1</v>
      </c>
    </row>
    <row r="124" spans="2:4" x14ac:dyDescent="0.3">
      <c r="B124" s="6">
        <v>45208</v>
      </c>
      <c r="C124" s="5">
        <v>2597</v>
      </c>
      <c r="D124" s="7">
        <v>0</v>
      </c>
    </row>
    <row r="125" spans="2:4" x14ac:dyDescent="0.3">
      <c r="B125" s="6">
        <v>45209</v>
      </c>
      <c r="C125" s="5">
        <v>6603</v>
      </c>
      <c r="D125" s="7">
        <v>1</v>
      </c>
    </row>
    <row r="126" spans="2:4" x14ac:dyDescent="0.3">
      <c r="B126" s="6">
        <v>45210</v>
      </c>
      <c r="C126" s="5">
        <v>888</v>
      </c>
      <c r="D126" s="7">
        <v>-1</v>
      </c>
    </row>
    <row r="127" spans="2:4" x14ac:dyDescent="0.3">
      <c r="B127" s="6">
        <v>45212</v>
      </c>
      <c r="C127" s="5">
        <v>1152</v>
      </c>
      <c r="D127" s="7">
        <v>0</v>
      </c>
    </row>
    <row r="128" spans="2:4" x14ac:dyDescent="0.3">
      <c r="B128" s="6">
        <v>45214</v>
      </c>
      <c r="C128" s="5">
        <v>3332</v>
      </c>
      <c r="D128" s="7">
        <v>1</v>
      </c>
    </row>
    <row r="129" spans="2:4" x14ac:dyDescent="0.3">
      <c r="B129" s="6">
        <v>45215</v>
      </c>
      <c r="C129" s="5">
        <v>2304</v>
      </c>
      <c r="D129" s="7">
        <v>0</v>
      </c>
    </row>
    <row r="130" spans="2:4" x14ac:dyDescent="0.3">
      <c r="B130" s="6">
        <v>45216</v>
      </c>
      <c r="C130" s="5">
        <v>680</v>
      </c>
      <c r="D130" s="7">
        <v>-1</v>
      </c>
    </row>
    <row r="131" spans="2:4" x14ac:dyDescent="0.3">
      <c r="B131" s="6">
        <v>45218</v>
      </c>
      <c r="C131" s="5">
        <v>2768</v>
      </c>
      <c r="D131" s="7">
        <v>0</v>
      </c>
    </row>
    <row r="132" spans="2:4" x14ac:dyDescent="0.3">
      <c r="B132" s="6">
        <v>45219</v>
      </c>
      <c r="C132" s="5">
        <v>4128</v>
      </c>
      <c r="D132" s="7">
        <v>1</v>
      </c>
    </row>
    <row r="133" spans="2:4" x14ac:dyDescent="0.3">
      <c r="B133" s="6">
        <v>45224</v>
      </c>
      <c r="C133" s="5">
        <v>695</v>
      </c>
      <c r="D133" s="7">
        <v>-1</v>
      </c>
    </row>
    <row r="134" spans="2:4" x14ac:dyDescent="0.3">
      <c r="B134" s="6">
        <v>45226</v>
      </c>
      <c r="C134" s="5">
        <v>4912</v>
      </c>
      <c r="D134" s="7">
        <v>1</v>
      </c>
    </row>
    <row r="135" spans="2:4" x14ac:dyDescent="0.3">
      <c r="B135" s="6">
        <v>45227</v>
      </c>
      <c r="C135" s="5">
        <v>11520</v>
      </c>
      <c r="D135" s="7">
        <v>1</v>
      </c>
    </row>
    <row r="136" spans="2:4" x14ac:dyDescent="0.3">
      <c r="B136" s="6">
        <v>45228</v>
      </c>
      <c r="C136" s="5">
        <v>428</v>
      </c>
      <c r="D136" s="7">
        <v>-1</v>
      </c>
    </row>
    <row r="137" spans="2:4" x14ac:dyDescent="0.3">
      <c r="B137" s="6">
        <v>45233</v>
      </c>
      <c r="C137" s="5">
        <v>3600</v>
      </c>
      <c r="D137" s="7">
        <v>1</v>
      </c>
    </row>
    <row r="138" spans="2:4" x14ac:dyDescent="0.3">
      <c r="B138" s="6">
        <v>45236</v>
      </c>
      <c r="C138" s="5">
        <v>630</v>
      </c>
      <c r="D138" s="7">
        <v>-1</v>
      </c>
    </row>
    <row r="139" spans="2:4" x14ac:dyDescent="0.3">
      <c r="B139" s="6">
        <v>45239</v>
      </c>
      <c r="C139" s="5">
        <v>9322</v>
      </c>
      <c r="D139" s="7">
        <v>1</v>
      </c>
    </row>
    <row r="140" spans="2:4" x14ac:dyDescent="0.3">
      <c r="B140" s="6">
        <v>45242</v>
      </c>
      <c r="C140" s="5">
        <v>12117</v>
      </c>
      <c r="D140" s="7">
        <v>1</v>
      </c>
    </row>
    <row r="141" spans="2:4" x14ac:dyDescent="0.3">
      <c r="B141" s="6">
        <v>45244</v>
      </c>
      <c r="C141" s="5">
        <v>4996</v>
      </c>
      <c r="D141" s="7">
        <v>1</v>
      </c>
    </row>
    <row r="142" spans="2:4" x14ac:dyDescent="0.3">
      <c r="B142" s="6">
        <v>45245</v>
      </c>
      <c r="C142" s="5">
        <v>5920</v>
      </c>
      <c r="D142" s="7">
        <v>1</v>
      </c>
    </row>
    <row r="143" spans="2:4" x14ac:dyDescent="0.3">
      <c r="B143" s="6">
        <v>45247</v>
      </c>
      <c r="C143" s="5">
        <v>9468</v>
      </c>
      <c r="D143" s="7">
        <v>1</v>
      </c>
    </row>
    <row r="144" spans="2:4" x14ac:dyDescent="0.3">
      <c r="B144" s="6">
        <v>45249</v>
      </c>
      <c r="C144" s="5">
        <v>9180</v>
      </c>
      <c r="D144" s="7">
        <v>1</v>
      </c>
    </row>
    <row r="145" spans="2:4" x14ac:dyDescent="0.3">
      <c r="B145" s="6">
        <v>45250</v>
      </c>
      <c r="C145" s="5">
        <v>1660</v>
      </c>
      <c r="D145" s="7">
        <v>0</v>
      </c>
    </row>
    <row r="146" spans="2:4" x14ac:dyDescent="0.3">
      <c r="B146" s="6">
        <v>45252</v>
      </c>
      <c r="C146" s="5">
        <v>6592</v>
      </c>
      <c r="D146" s="7">
        <v>1</v>
      </c>
    </row>
    <row r="147" spans="2:4" x14ac:dyDescent="0.3">
      <c r="B147" s="6">
        <v>45255</v>
      </c>
      <c r="C147" s="5">
        <v>1210</v>
      </c>
      <c r="D147" s="7">
        <v>0</v>
      </c>
    </row>
    <row r="148" spans="2:4" x14ac:dyDescent="0.3">
      <c r="B148" s="6">
        <v>45256</v>
      </c>
      <c r="C148" s="5">
        <v>162</v>
      </c>
      <c r="D148" s="7">
        <v>-1</v>
      </c>
    </row>
    <row r="149" spans="2:4" x14ac:dyDescent="0.3">
      <c r="B149" s="6">
        <v>45258</v>
      </c>
      <c r="C149" s="5">
        <v>2946</v>
      </c>
      <c r="D149" s="7">
        <v>0</v>
      </c>
    </row>
    <row r="150" spans="2:4" x14ac:dyDescent="0.3">
      <c r="B150" s="6">
        <v>45259</v>
      </c>
      <c r="C150" s="5">
        <v>3477</v>
      </c>
      <c r="D150" s="7">
        <v>1</v>
      </c>
    </row>
    <row r="151" spans="2:4" x14ac:dyDescent="0.3">
      <c r="B151" s="6">
        <v>45262</v>
      </c>
      <c r="C151" s="5">
        <v>7542</v>
      </c>
      <c r="D151" s="7">
        <v>1</v>
      </c>
    </row>
    <row r="152" spans="2:4" x14ac:dyDescent="0.3">
      <c r="B152" s="6">
        <v>45263</v>
      </c>
      <c r="C152" s="5">
        <v>11937</v>
      </c>
      <c r="D152" s="7">
        <v>1</v>
      </c>
    </row>
    <row r="153" spans="2:4" x14ac:dyDescent="0.3">
      <c r="B153" s="6">
        <v>45268</v>
      </c>
      <c r="C153" s="5">
        <v>3654</v>
      </c>
      <c r="D153" s="7">
        <v>1</v>
      </c>
    </row>
    <row r="154" spans="2:4" x14ac:dyDescent="0.3">
      <c r="B154" s="6">
        <v>45270</v>
      </c>
      <c r="C154" s="5">
        <v>1040</v>
      </c>
      <c r="D154" s="7">
        <v>0</v>
      </c>
    </row>
    <row r="155" spans="2:4" x14ac:dyDescent="0.3">
      <c r="B155" s="6">
        <v>45271</v>
      </c>
      <c r="C155" s="5">
        <v>3450</v>
      </c>
      <c r="D155" s="7">
        <v>1</v>
      </c>
    </row>
    <row r="156" spans="2:4" x14ac:dyDescent="0.3">
      <c r="B156" s="6">
        <v>45272</v>
      </c>
      <c r="C156" s="5">
        <v>2492</v>
      </c>
      <c r="D156" s="7">
        <v>0</v>
      </c>
    </row>
    <row r="157" spans="2:4" x14ac:dyDescent="0.3">
      <c r="B157" s="6">
        <v>45274</v>
      </c>
      <c r="C157" s="5">
        <v>3951</v>
      </c>
      <c r="D157" s="7">
        <v>1</v>
      </c>
    </row>
    <row r="158" spans="2:4" x14ac:dyDescent="0.3">
      <c r="B158" s="6">
        <v>45276</v>
      </c>
      <c r="C158" s="5">
        <v>7812</v>
      </c>
      <c r="D158" s="7">
        <v>1</v>
      </c>
    </row>
    <row r="159" spans="2:4" x14ac:dyDescent="0.3">
      <c r="B159" s="6">
        <v>45277</v>
      </c>
      <c r="C159" s="5">
        <v>15018</v>
      </c>
      <c r="D159" s="7">
        <v>1</v>
      </c>
    </row>
    <row r="160" spans="2:4" x14ac:dyDescent="0.3">
      <c r="B160" s="6">
        <v>45279</v>
      </c>
      <c r="C160" s="5">
        <v>4080</v>
      </c>
      <c r="D160" s="7">
        <v>1</v>
      </c>
    </row>
    <row r="161" spans="2:4" x14ac:dyDescent="0.3">
      <c r="B161" s="6">
        <v>45280</v>
      </c>
      <c r="C161" s="5">
        <v>6088</v>
      </c>
      <c r="D161" s="7">
        <v>1</v>
      </c>
    </row>
    <row r="162" spans="2:4" x14ac:dyDescent="0.3">
      <c r="B162" s="6">
        <v>45283</v>
      </c>
      <c r="C162" s="5">
        <v>6993</v>
      </c>
      <c r="D162" s="7">
        <v>1</v>
      </c>
    </row>
    <row r="163" spans="2:4" x14ac:dyDescent="0.3">
      <c r="B163" s="6">
        <v>45284</v>
      </c>
      <c r="C163" s="5">
        <v>2740</v>
      </c>
      <c r="D163" s="7">
        <v>0</v>
      </c>
    </row>
    <row r="164" spans="2:4" x14ac:dyDescent="0.3">
      <c r="B164" s="6">
        <v>45286</v>
      </c>
      <c r="C164" s="5">
        <v>982</v>
      </c>
      <c r="D164" s="7">
        <v>-1</v>
      </c>
    </row>
    <row r="165" spans="2:4" x14ac:dyDescent="0.3">
      <c r="B165" s="6">
        <v>45287</v>
      </c>
      <c r="C165" s="5">
        <v>292</v>
      </c>
      <c r="D165" s="7">
        <v>-1</v>
      </c>
    </row>
    <row r="166" spans="2:4" x14ac:dyDescent="0.3">
      <c r="B166" s="6">
        <v>45292</v>
      </c>
      <c r="C166" s="5">
        <v>2540</v>
      </c>
      <c r="D166" s="7">
        <v>0</v>
      </c>
    </row>
    <row r="167" spans="2:4" x14ac:dyDescent="0.3">
      <c r="B167" s="2" t="s">
        <v>0</v>
      </c>
      <c r="C167" s="5">
        <v>605539</v>
      </c>
      <c r="D167" s="7">
        <v>1</v>
      </c>
    </row>
  </sheetData>
  <conditionalFormatting pivot="1" sqref="D4:D167">
    <cfRule type="iconSet" priority="1">
      <iconSet iconSet="3Symbols" showValue="0">
        <cfvo type="num" val="-1"/>
        <cfvo type="num" val="-0.5"/>
        <cfvo type="num" val="0.5"/>
      </iconSet>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02AE-1403-4F80-A34A-F3F693D4C367}">
  <dimension ref="A1"/>
  <sheetViews>
    <sheetView zoomScale="70" zoomScaleNormal="70" workbookViewId="0">
      <selection activeCell="K45" sqref="K45"/>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64FFB60-1329-4244-A93B-25238B27DF24}">
  <ds:schemaRefs/>
</ds:datastoreItem>
</file>

<file path=customXml/itemProps2.xml><?xml version="1.0" encoding="utf-8"?>
<ds:datastoreItem xmlns:ds="http://schemas.openxmlformats.org/officeDocument/2006/customXml" ds:itemID="{B399A042-4DCF-442A-81CA-99B51195992B}">
  <ds:schemaRefs/>
</ds:datastoreItem>
</file>

<file path=customXml/itemProps3.xml><?xml version="1.0" encoding="utf-8"?>
<ds:datastoreItem xmlns:ds="http://schemas.openxmlformats.org/officeDocument/2006/customXml" ds:itemID="{B37EAA6D-80D3-4149-9BC0-1F237C5F8186}">
  <ds:schemaRefs/>
</ds:datastoreItem>
</file>

<file path=customXml/itemProps4.xml><?xml version="1.0" encoding="utf-8"?>
<ds:datastoreItem xmlns:ds="http://schemas.openxmlformats.org/officeDocument/2006/customXml" ds:itemID="{7BB28CC1-F7AF-4356-B213-FD540A99F86A}">
  <ds:schemaRefs/>
</ds:datastoreItem>
</file>

<file path=customXml/itemProps5.xml><?xml version="1.0" encoding="utf-8"?>
<ds:datastoreItem xmlns:ds="http://schemas.openxmlformats.org/officeDocument/2006/customXml" ds:itemID="{7F270CE1-46C9-4D4F-8486-108F171BE3C7}">
  <ds:schemaRefs/>
</ds:datastoreItem>
</file>

<file path=customXml/itemProps6.xml><?xml version="1.0" encoding="utf-8"?>
<ds:datastoreItem xmlns:ds="http://schemas.openxmlformats.org/officeDocument/2006/customXml" ds:itemID="{90D56774-896A-49C5-84C4-DA082720DDB9}">
  <ds:schemaRefs/>
</ds:datastoreItem>
</file>

<file path=customXml/itemProps7.xml><?xml version="1.0" encoding="utf-8"?>
<ds:datastoreItem xmlns:ds="http://schemas.openxmlformats.org/officeDocument/2006/customXml" ds:itemID="{D887D600-765E-4094-B60A-EDC49DEEB315}">
  <ds:schemaRefs/>
</ds:datastoreItem>
</file>

<file path=customXml/itemProps8.xml><?xml version="1.0" encoding="utf-8"?>
<ds:datastoreItem xmlns:ds="http://schemas.openxmlformats.org/officeDocument/2006/customXml" ds:itemID="{53D9FC4F-D146-4E07-B667-AF29CDC28626}">
  <ds:schemaRefs/>
</ds:datastoreItem>
</file>

<file path=customXml/itemProps9.xml><?xml version="1.0" encoding="utf-8"?>
<ds:datastoreItem xmlns:ds="http://schemas.openxmlformats.org/officeDocument/2006/customXml" ds:itemID="{32428814-8993-4BB0-828B-AE1257BB7B37}">
  <ds:schemaRefs/>
</ds:datastoreItem>
</file>

<file path=customXml/itemProps10.xml><?xml version="1.0" encoding="utf-8"?>
<ds:datastoreItem xmlns:ds="http://schemas.openxmlformats.org/officeDocument/2006/customXml" ds:itemID="{A9036DE6-32E7-420C-BC24-EFA4A4E2B9A1}">
  <ds:schemaRefs/>
</ds:datastoreItem>
</file>

<file path=customXml/itemProps11.xml><?xml version="1.0" encoding="utf-8"?>
<ds:datastoreItem xmlns:ds="http://schemas.openxmlformats.org/officeDocument/2006/customXml" ds:itemID="{1DAD3C09-FB57-4C49-93C1-DD5F9B35932E}">
  <ds:schemaRefs/>
</ds:datastoreItem>
</file>

<file path=customXml/itemProps12.xml><?xml version="1.0" encoding="utf-8"?>
<ds:datastoreItem xmlns:ds="http://schemas.openxmlformats.org/officeDocument/2006/customXml" ds:itemID="{8CBCB073-78A2-487E-8265-EA70AE067802}">
  <ds:schemaRefs/>
</ds:datastoreItem>
</file>

<file path=customXml/itemProps13.xml><?xml version="1.0" encoding="utf-8"?>
<ds:datastoreItem xmlns:ds="http://schemas.openxmlformats.org/officeDocument/2006/customXml" ds:itemID="{DC573FFD-84B5-4063-9E0E-1A0D4CC39C64}">
  <ds:schemaRefs/>
</ds:datastoreItem>
</file>

<file path=customXml/itemProps14.xml><?xml version="1.0" encoding="utf-8"?>
<ds:datastoreItem xmlns:ds="http://schemas.openxmlformats.org/officeDocument/2006/customXml" ds:itemID="{123342DC-0829-4525-8624-F5764712C8D0}">
  <ds:schemaRefs/>
</ds:datastoreItem>
</file>

<file path=customXml/itemProps15.xml><?xml version="1.0" encoding="utf-8"?>
<ds:datastoreItem xmlns:ds="http://schemas.openxmlformats.org/officeDocument/2006/customXml" ds:itemID="{528DC465-07BA-493E-86D6-9F1473EC4F3B}">
  <ds:schemaRefs/>
</ds:datastoreItem>
</file>

<file path=customXml/itemProps16.xml><?xml version="1.0" encoding="utf-8"?>
<ds:datastoreItem xmlns:ds="http://schemas.openxmlformats.org/officeDocument/2006/customXml" ds:itemID="{0A96E166-942E-4F1D-9508-370844AE155A}">
  <ds:schemaRefs/>
</ds:datastoreItem>
</file>

<file path=customXml/itemProps17.xml><?xml version="1.0" encoding="utf-8"?>
<ds:datastoreItem xmlns:ds="http://schemas.openxmlformats.org/officeDocument/2006/customXml" ds:itemID="{013836D2-A677-43BE-BFE4-664B5A321C50}">
  <ds:schemaRefs/>
</ds:datastoreItem>
</file>

<file path=customXml/itemProps18.xml><?xml version="1.0" encoding="utf-8"?>
<ds:datastoreItem xmlns:ds="http://schemas.openxmlformats.org/officeDocument/2006/customXml" ds:itemID="{EEA3A99C-40D5-4C03-82A3-37F17AD99378}">
  <ds:schemaRefs/>
</ds:datastoreItem>
</file>

<file path=customXml/itemProps19.xml><?xml version="1.0" encoding="utf-8"?>
<ds:datastoreItem xmlns:ds="http://schemas.openxmlformats.org/officeDocument/2006/customXml" ds:itemID="{46D3310A-4C5D-42ED-9AC7-255576594E94}">
  <ds:schemaRefs/>
</ds:datastoreItem>
</file>

<file path=customXml/itemProps20.xml><?xml version="1.0" encoding="utf-8"?>
<ds:datastoreItem xmlns:ds="http://schemas.openxmlformats.org/officeDocument/2006/customXml" ds:itemID="{209405CA-0D3D-446C-8D39-1F0F3F4F22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Bar Chart</vt:lpstr>
      <vt:lpstr>Sheet2</vt:lpstr>
      <vt:lpstr>KPI Visuals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sahil</dc:creator>
  <cp:lastModifiedBy>Mr. sahil</cp:lastModifiedBy>
  <dcterms:created xsi:type="dcterms:W3CDTF">2026-02-11T06:07:52Z</dcterms:created>
  <dcterms:modified xsi:type="dcterms:W3CDTF">2026-02-12T09:28:02Z</dcterms:modified>
</cp:coreProperties>
</file>